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autoCompressPictures="0" defaultThemeVersion="124226"/>
  <mc:AlternateContent xmlns:mc="http://schemas.openxmlformats.org/markup-compatibility/2006">
    <mc:Choice Requires="x15">
      <x15ac:absPath xmlns:x15ac="http://schemas.microsoft.com/office/spreadsheetml/2010/11/ac" url="C:\Users\rafae\Dropbox\TEACHING\Ivey\1. Class Material\2. DATA MGMT EXCEL\CLASS\1. Lessons\Lesson 4 - Numerical Analysis\Lesson 4.2 - Numerical Analysis\"/>
    </mc:Choice>
  </mc:AlternateContent>
  <bookViews>
    <workbookView xWindow="0" yWindow="60" windowWidth="20730" windowHeight="11760" activeTab="2"/>
  </bookViews>
  <sheets>
    <sheet name="READ_ME_FIRST" sheetId="14" r:id="rId1"/>
    <sheet name="Section1" sheetId="3" r:id="rId2"/>
    <sheet name="Section4" sheetId="9" r:id="rId3"/>
    <sheet name="Section2" sheetId="7" r:id="rId4"/>
    <sheet name="Section3" sheetId="6" r:id="rId5"/>
    <sheet name="Section5" sheetId="11" r:id="rId6"/>
  </sheets>
  <functionGroups builtInGroupCount="18"/>
  <definedNames>
    <definedName name="_xlnm._FilterDatabase" localSheetId="3" hidden="1">Section2!$A$1:$F$134</definedName>
    <definedName name="FORMULAS_RNG">Section4!$B$20:$B$61</definedName>
  </definedNames>
  <calcPr calcId="171027" iterate="1" concurrentCalc="0"/>
  <extLst>
    <ext xmlns:mx="http://schemas.microsoft.com/office/mac/excel/2008/main" uri="{7523E5D3-25F3-A5E0-1632-64F254C22452}">
      <mx:ArchID Flags="2"/>
    </ext>
  </extLst>
</workbook>
</file>

<file path=xl/calcChain.xml><?xml version="1.0" encoding="utf-8"?>
<calcChain xmlns="http://schemas.openxmlformats.org/spreadsheetml/2006/main">
  <c r="H1" i="9" l="1"/>
  <c r="K1" i="9"/>
  <c r="X1" i="9"/>
  <c r="A2" i="9"/>
  <c r="Q2" i="9"/>
  <c r="Q1" i="9"/>
  <c r="R1" i="9"/>
  <c r="R2" i="9"/>
  <c r="D25" i="9"/>
  <c r="A4" i="9"/>
  <c r="H4" i="9"/>
  <c r="K4" i="9"/>
  <c r="N4" i="9"/>
  <c r="L4" i="9"/>
  <c r="I1" i="9"/>
  <c r="M1" i="9"/>
  <c r="L1" i="9"/>
  <c r="A3" i="9"/>
  <c r="H3" i="9"/>
  <c r="K3" i="9"/>
  <c r="H2" i="9"/>
  <c r="K2" i="9"/>
  <c r="J1" i="9"/>
  <c r="D94" i="9" a="1"/>
  <c r="D94" i="9"/>
  <c r="E94" i="9"/>
  <c r="F94" i="9"/>
  <c r="G94" i="9"/>
  <c r="H94" i="9"/>
  <c r="I94" i="9"/>
  <c r="J94" i="9"/>
  <c r="K94" i="9"/>
  <c r="L94" i="9"/>
  <c r="M94" i="9"/>
  <c r="N94" i="9"/>
  <c r="O94" i="9"/>
  <c r="P94" i="9"/>
  <c r="Q94" i="9"/>
  <c r="R94" i="9"/>
  <c r="S94" i="9"/>
  <c r="T94" i="9"/>
  <c r="U94" i="9"/>
  <c r="V94" i="9"/>
  <c r="W94" i="9"/>
  <c r="X94" i="9"/>
  <c r="Y94" i="9"/>
  <c r="Z94" i="9"/>
  <c r="AA94" i="9"/>
  <c r="AB94" i="9"/>
  <c r="AC94" i="9"/>
  <c r="AD94" i="9"/>
  <c r="AE94" i="9"/>
  <c r="AF94" i="9"/>
  <c r="AG94" i="9"/>
  <c r="AH94" i="9"/>
  <c r="AI94" i="9"/>
  <c r="AJ94" i="9"/>
  <c r="AK94" i="9"/>
  <c r="AL94" i="9"/>
  <c r="AM94" i="9"/>
  <c r="AN94" i="9"/>
  <c r="AO94" i="9"/>
  <c r="AP94" i="9"/>
  <c r="AQ94" i="9"/>
  <c r="AR94" i="9"/>
  <c r="AS94" i="9"/>
  <c r="AT94" i="9"/>
  <c r="AU94" i="9"/>
  <c r="AV94" i="9"/>
  <c r="AW94" i="9"/>
  <c r="AX94" i="9"/>
  <c r="AY94" i="9"/>
  <c r="AZ94" i="9"/>
  <c r="BA94" i="9"/>
  <c r="BB94" i="9"/>
  <c r="BC94" i="9"/>
  <c r="BD94" i="9"/>
  <c r="BE94" i="9"/>
  <c r="BF94" i="9"/>
  <c r="BG94" i="9"/>
  <c r="BH94" i="9"/>
  <c r="BI94" i="9"/>
  <c r="BJ94" i="9"/>
  <c r="BK94" i="9"/>
  <c r="BL94" i="9"/>
  <c r="D95" i="9"/>
  <c r="E95" i="9"/>
  <c r="F95" i="9"/>
  <c r="G95" i="9"/>
  <c r="H95" i="9"/>
  <c r="I95" i="9"/>
  <c r="J95" i="9"/>
  <c r="K95" i="9"/>
  <c r="L95" i="9"/>
  <c r="M95" i="9"/>
  <c r="N95" i="9"/>
  <c r="O95" i="9"/>
  <c r="P95" i="9"/>
  <c r="Q95" i="9"/>
  <c r="R95" i="9"/>
  <c r="S95" i="9"/>
  <c r="T95" i="9"/>
  <c r="U95" i="9"/>
  <c r="V95" i="9"/>
  <c r="W95" i="9"/>
  <c r="X95" i="9"/>
  <c r="Y95" i="9"/>
  <c r="Z95" i="9"/>
  <c r="AA95" i="9"/>
  <c r="AB95" i="9"/>
  <c r="AC95" i="9"/>
  <c r="AD95" i="9"/>
  <c r="AE95" i="9"/>
  <c r="AF95" i="9"/>
  <c r="AG95" i="9"/>
  <c r="AH95" i="9"/>
  <c r="AI95" i="9"/>
  <c r="AJ95" i="9"/>
  <c r="AK95" i="9"/>
  <c r="AL95" i="9"/>
  <c r="AM95" i="9"/>
  <c r="AN95" i="9"/>
  <c r="AO95" i="9"/>
  <c r="AP95" i="9"/>
  <c r="AQ95" i="9"/>
  <c r="AR95" i="9"/>
  <c r="AS95" i="9"/>
  <c r="AT95" i="9"/>
  <c r="AU95" i="9"/>
  <c r="AV95" i="9"/>
  <c r="AW95" i="9"/>
  <c r="AX95" i="9"/>
  <c r="AY95" i="9"/>
  <c r="AZ95" i="9"/>
  <c r="BA95" i="9"/>
  <c r="BB95" i="9"/>
  <c r="BC95" i="9"/>
  <c r="BD95" i="9"/>
  <c r="BE95" i="9"/>
  <c r="BF95" i="9"/>
  <c r="BG95" i="9"/>
  <c r="BH95" i="9"/>
  <c r="BI95" i="9"/>
  <c r="BJ95" i="9"/>
  <c r="BK95" i="9"/>
  <c r="BL95" i="9"/>
  <c r="D96" i="9"/>
  <c r="E96" i="9"/>
  <c r="F96" i="9"/>
  <c r="G96" i="9"/>
  <c r="H96" i="9"/>
  <c r="I96" i="9"/>
  <c r="J96" i="9"/>
  <c r="K96" i="9"/>
  <c r="L96" i="9"/>
  <c r="M96" i="9"/>
  <c r="N96" i="9"/>
  <c r="O96" i="9"/>
  <c r="P96" i="9"/>
  <c r="Q96" i="9"/>
  <c r="R96" i="9"/>
  <c r="S96" i="9"/>
  <c r="T96" i="9"/>
  <c r="U96" i="9"/>
  <c r="V96" i="9"/>
  <c r="W96" i="9"/>
  <c r="X96" i="9"/>
  <c r="Y96" i="9"/>
  <c r="Z96" i="9"/>
  <c r="AA96" i="9"/>
  <c r="AB96" i="9"/>
  <c r="AC96" i="9"/>
  <c r="AD96" i="9"/>
  <c r="AE96" i="9"/>
  <c r="AF96" i="9"/>
  <c r="AG96" i="9"/>
  <c r="AH96" i="9"/>
  <c r="AI96" i="9"/>
  <c r="AJ96" i="9"/>
  <c r="AK96" i="9"/>
  <c r="AL96" i="9"/>
  <c r="AM96" i="9"/>
  <c r="AN96" i="9"/>
  <c r="AO96" i="9"/>
  <c r="AP96" i="9"/>
  <c r="AQ96" i="9"/>
  <c r="AR96" i="9"/>
  <c r="AS96" i="9"/>
  <c r="AT96" i="9"/>
  <c r="AU96" i="9"/>
  <c r="AV96" i="9"/>
  <c r="AW96" i="9"/>
  <c r="AX96" i="9"/>
  <c r="AY96" i="9"/>
  <c r="AZ96" i="9"/>
  <c r="BA96" i="9"/>
  <c r="BB96" i="9"/>
  <c r="BC96" i="9"/>
  <c r="BD96" i="9"/>
  <c r="BE96" i="9"/>
  <c r="BF96" i="9"/>
  <c r="BG96" i="9"/>
  <c r="BH96" i="9"/>
  <c r="BI96" i="9"/>
  <c r="BJ96" i="9"/>
  <c r="BK96" i="9"/>
  <c r="BL96" i="9"/>
  <c r="D97" i="9"/>
  <c r="E97" i="9"/>
  <c r="F97" i="9"/>
  <c r="G97" i="9"/>
  <c r="H97" i="9"/>
  <c r="I97" i="9"/>
  <c r="J97" i="9"/>
  <c r="K97" i="9"/>
  <c r="L97" i="9"/>
  <c r="M97" i="9"/>
  <c r="N97" i="9"/>
  <c r="O97" i="9"/>
  <c r="P97" i="9"/>
  <c r="Q97" i="9"/>
  <c r="R97" i="9"/>
  <c r="S97" i="9"/>
  <c r="T97" i="9"/>
  <c r="U97" i="9"/>
  <c r="V97" i="9"/>
  <c r="W97" i="9"/>
  <c r="X97" i="9"/>
  <c r="Y97" i="9"/>
  <c r="Z97" i="9"/>
  <c r="AA97" i="9"/>
  <c r="AB97" i="9"/>
  <c r="AC97" i="9"/>
  <c r="AD97" i="9"/>
  <c r="AE97" i="9"/>
  <c r="AF97" i="9"/>
  <c r="AG97" i="9"/>
  <c r="AH97" i="9"/>
  <c r="AI97" i="9"/>
  <c r="AJ97" i="9"/>
  <c r="AK97" i="9"/>
  <c r="AL97" i="9"/>
  <c r="AM97" i="9"/>
  <c r="AN97" i="9"/>
  <c r="AO97" i="9"/>
  <c r="AP97" i="9"/>
  <c r="AQ97" i="9"/>
  <c r="AR97" i="9"/>
  <c r="AS97" i="9"/>
  <c r="AT97" i="9"/>
  <c r="AU97" i="9"/>
  <c r="AV97" i="9"/>
  <c r="AW97" i="9"/>
  <c r="AX97" i="9"/>
  <c r="AY97" i="9"/>
  <c r="AZ97" i="9"/>
  <c r="BA97" i="9"/>
  <c r="BB97" i="9"/>
  <c r="BC97" i="9"/>
  <c r="BD97" i="9"/>
  <c r="BE97" i="9"/>
  <c r="BF97" i="9"/>
  <c r="BG97" i="9"/>
  <c r="BH97" i="9"/>
  <c r="BI97" i="9"/>
  <c r="BJ97" i="9"/>
  <c r="BK97" i="9"/>
  <c r="BL97" i="9"/>
  <c r="D98" i="9"/>
  <c r="E98" i="9"/>
  <c r="F98" i="9"/>
  <c r="G98" i="9"/>
  <c r="H98" i="9"/>
  <c r="I98" i="9"/>
  <c r="J98" i="9"/>
  <c r="K98" i="9"/>
  <c r="L98" i="9"/>
  <c r="M98" i="9"/>
  <c r="N98" i="9"/>
  <c r="O98" i="9"/>
  <c r="P98" i="9"/>
  <c r="Q98" i="9"/>
  <c r="R98" i="9"/>
  <c r="S98" i="9"/>
  <c r="T98" i="9"/>
  <c r="U98" i="9"/>
  <c r="V98" i="9"/>
  <c r="W98" i="9"/>
  <c r="X98" i="9"/>
  <c r="Y98" i="9"/>
  <c r="Z98" i="9"/>
  <c r="AA98" i="9"/>
  <c r="AB98" i="9"/>
  <c r="AC98" i="9"/>
  <c r="AD98" i="9"/>
  <c r="AE98" i="9"/>
  <c r="AF98" i="9"/>
  <c r="AG98" i="9"/>
  <c r="AH98" i="9"/>
  <c r="AI98" i="9"/>
  <c r="AJ98" i="9"/>
  <c r="AK98" i="9"/>
  <c r="AL98" i="9"/>
  <c r="AM98" i="9"/>
  <c r="AN98" i="9"/>
  <c r="AO98" i="9"/>
  <c r="AP98" i="9"/>
  <c r="AQ98" i="9"/>
  <c r="AR98" i="9"/>
  <c r="AS98" i="9"/>
  <c r="AT98" i="9"/>
  <c r="AU98" i="9"/>
  <c r="AV98" i="9"/>
  <c r="AW98" i="9"/>
  <c r="AX98" i="9"/>
  <c r="AY98" i="9"/>
  <c r="AZ98" i="9"/>
  <c r="BA98" i="9"/>
  <c r="BB98" i="9"/>
  <c r="BC98" i="9"/>
  <c r="BD98" i="9"/>
  <c r="BE98" i="9"/>
  <c r="BF98" i="9"/>
  <c r="BG98" i="9"/>
  <c r="BH98" i="9"/>
  <c r="BI98" i="9"/>
  <c r="BJ98" i="9"/>
  <c r="BK98" i="9"/>
  <c r="BL98" i="9"/>
  <c r="D99" i="9"/>
  <c r="E99" i="9"/>
  <c r="F99" i="9"/>
  <c r="G99" i="9"/>
  <c r="H99" i="9"/>
  <c r="I99" i="9"/>
  <c r="J99" i="9"/>
  <c r="K99" i="9"/>
  <c r="L99" i="9"/>
  <c r="M99" i="9"/>
  <c r="N99" i="9"/>
  <c r="O99" i="9"/>
  <c r="P99" i="9"/>
  <c r="Q99" i="9"/>
  <c r="R99" i="9"/>
  <c r="S99" i="9"/>
  <c r="T99" i="9"/>
  <c r="U99" i="9"/>
  <c r="V99" i="9"/>
  <c r="W99" i="9"/>
  <c r="X99" i="9"/>
  <c r="Y99" i="9"/>
  <c r="Z99" i="9"/>
  <c r="AA99" i="9"/>
  <c r="AB99" i="9"/>
  <c r="AC99" i="9"/>
  <c r="AD99" i="9"/>
  <c r="AE99" i="9"/>
  <c r="AF99" i="9"/>
  <c r="AG99" i="9"/>
  <c r="AH99" i="9"/>
  <c r="AI99" i="9"/>
  <c r="AJ99" i="9"/>
  <c r="AK99" i="9"/>
  <c r="AL99" i="9"/>
  <c r="AM99" i="9"/>
  <c r="AN99" i="9"/>
  <c r="AO99" i="9"/>
  <c r="AP99" i="9"/>
  <c r="AQ99" i="9"/>
  <c r="AR99" i="9"/>
  <c r="AS99" i="9"/>
  <c r="AT99" i="9"/>
  <c r="AU99" i="9"/>
  <c r="AV99" i="9"/>
  <c r="AW99" i="9"/>
  <c r="AX99" i="9"/>
  <c r="AY99" i="9"/>
  <c r="AZ99" i="9"/>
  <c r="BA99" i="9"/>
  <c r="BB99" i="9"/>
  <c r="BC99" i="9"/>
  <c r="BD99" i="9"/>
  <c r="BE99" i="9"/>
  <c r="BF99" i="9"/>
  <c r="BG99" i="9"/>
  <c r="BH99" i="9"/>
  <c r="BI99" i="9"/>
  <c r="BJ99" i="9"/>
  <c r="BK99" i="9"/>
  <c r="BL99" i="9"/>
  <c r="D100" i="9"/>
  <c r="E100" i="9"/>
  <c r="F100" i="9"/>
  <c r="G100" i="9"/>
  <c r="H100" i="9"/>
  <c r="I100" i="9"/>
  <c r="J100" i="9"/>
  <c r="K100" i="9"/>
  <c r="L100" i="9"/>
  <c r="M100" i="9"/>
  <c r="N100" i="9"/>
  <c r="O100" i="9"/>
  <c r="P100" i="9"/>
  <c r="Q100" i="9"/>
  <c r="R100" i="9"/>
  <c r="S100" i="9"/>
  <c r="T100" i="9"/>
  <c r="U100" i="9"/>
  <c r="V100" i="9"/>
  <c r="W100" i="9"/>
  <c r="X100" i="9"/>
  <c r="Y100" i="9"/>
  <c r="Z100" i="9"/>
  <c r="AA100" i="9"/>
  <c r="AB100" i="9"/>
  <c r="AC100" i="9"/>
  <c r="AD100" i="9"/>
  <c r="AE100" i="9"/>
  <c r="AF100" i="9"/>
  <c r="AG100" i="9"/>
  <c r="AH100" i="9"/>
  <c r="AI100" i="9"/>
  <c r="AJ100" i="9"/>
  <c r="AK100" i="9"/>
  <c r="AL100" i="9"/>
  <c r="AM100" i="9"/>
  <c r="AN100" i="9"/>
  <c r="AO100" i="9"/>
  <c r="AP100" i="9"/>
  <c r="AQ100" i="9"/>
  <c r="AR100" i="9"/>
  <c r="AS100" i="9"/>
  <c r="AT100" i="9"/>
  <c r="AU100" i="9"/>
  <c r="AV100" i="9"/>
  <c r="AW100" i="9"/>
  <c r="AX100" i="9"/>
  <c r="AY100" i="9"/>
  <c r="AZ100" i="9"/>
  <c r="BA100" i="9"/>
  <c r="BB100" i="9"/>
  <c r="BC100" i="9"/>
  <c r="BD100" i="9"/>
  <c r="BE100" i="9"/>
  <c r="BF100" i="9"/>
  <c r="BG100" i="9"/>
  <c r="BH100" i="9"/>
  <c r="BI100" i="9"/>
  <c r="BJ100" i="9"/>
  <c r="BK100" i="9"/>
  <c r="BL100" i="9"/>
  <c r="D101" i="9"/>
  <c r="E101" i="9"/>
  <c r="F101" i="9"/>
  <c r="G101" i="9"/>
  <c r="H101" i="9"/>
  <c r="I101" i="9"/>
  <c r="J101" i="9"/>
  <c r="K101" i="9"/>
  <c r="L101" i="9"/>
  <c r="M101" i="9"/>
  <c r="N101" i="9"/>
  <c r="O101" i="9"/>
  <c r="P101" i="9"/>
  <c r="Q101" i="9"/>
  <c r="R101" i="9"/>
  <c r="S101" i="9"/>
  <c r="T101" i="9"/>
  <c r="U101" i="9"/>
  <c r="V101" i="9"/>
  <c r="W101" i="9"/>
  <c r="X101" i="9"/>
  <c r="Y101" i="9"/>
  <c r="Z101" i="9"/>
  <c r="AA101" i="9"/>
  <c r="AB101" i="9"/>
  <c r="AC101" i="9"/>
  <c r="AD101" i="9"/>
  <c r="AE101" i="9"/>
  <c r="AF101" i="9"/>
  <c r="AG101" i="9"/>
  <c r="AH101" i="9"/>
  <c r="AI101" i="9"/>
  <c r="AJ101" i="9"/>
  <c r="AK101" i="9"/>
  <c r="AL101" i="9"/>
  <c r="AM101" i="9"/>
  <c r="AN101" i="9"/>
  <c r="AO101" i="9"/>
  <c r="AP101" i="9"/>
  <c r="AQ101" i="9"/>
  <c r="AR101" i="9"/>
  <c r="AS101" i="9"/>
  <c r="AT101" i="9"/>
  <c r="AU101" i="9"/>
  <c r="AV101" i="9"/>
  <c r="AW101" i="9"/>
  <c r="AX101" i="9"/>
  <c r="AY101" i="9"/>
  <c r="AZ101" i="9"/>
  <c r="BA101" i="9"/>
  <c r="BB101" i="9"/>
  <c r="BC101" i="9"/>
  <c r="BD101" i="9"/>
  <c r="BE101" i="9"/>
  <c r="BF101" i="9"/>
  <c r="BG101" i="9"/>
  <c r="BH101" i="9"/>
  <c r="BI101" i="9"/>
  <c r="BJ101" i="9"/>
  <c r="BK101" i="9"/>
  <c r="BL101" i="9"/>
  <c r="D102" i="9"/>
  <c r="E102" i="9"/>
  <c r="F102" i="9"/>
  <c r="G102" i="9"/>
  <c r="H102" i="9"/>
  <c r="I102" i="9"/>
  <c r="J102" i="9"/>
  <c r="K102" i="9"/>
  <c r="L102" i="9"/>
  <c r="M102" i="9"/>
  <c r="N102" i="9"/>
  <c r="O102" i="9"/>
  <c r="P102" i="9"/>
  <c r="Q102" i="9"/>
  <c r="R102" i="9"/>
  <c r="S102" i="9"/>
  <c r="T102" i="9"/>
  <c r="U102" i="9"/>
  <c r="V102" i="9"/>
  <c r="W102" i="9"/>
  <c r="X102" i="9"/>
  <c r="Y102" i="9"/>
  <c r="Z102" i="9"/>
  <c r="AA102" i="9"/>
  <c r="AB102" i="9"/>
  <c r="AC102" i="9"/>
  <c r="AD102" i="9"/>
  <c r="AE102" i="9"/>
  <c r="AF102" i="9"/>
  <c r="AG102" i="9"/>
  <c r="AH102" i="9"/>
  <c r="AI102" i="9"/>
  <c r="AJ102" i="9"/>
  <c r="AK102" i="9"/>
  <c r="AL102" i="9"/>
  <c r="AM102" i="9"/>
  <c r="AN102" i="9"/>
  <c r="AO102" i="9"/>
  <c r="AP102" i="9"/>
  <c r="AQ102" i="9"/>
  <c r="AR102" i="9"/>
  <c r="AS102" i="9"/>
  <c r="AT102" i="9"/>
  <c r="AU102" i="9"/>
  <c r="AV102" i="9"/>
  <c r="AW102" i="9"/>
  <c r="AX102" i="9"/>
  <c r="AY102" i="9"/>
  <c r="AZ102" i="9"/>
  <c r="BA102" i="9"/>
  <c r="BB102" i="9"/>
  <c r="BC102" i="9"/>
  <c r="BD102" i="9"/>
  <c r="BE102" i="9"/>
  <c r="BF102" i="9"/>
  <c r="BG102" i="9"/>
  <c r="BH102" i="9"/>
  <c r="BI102" i="9"/>
  <c r="BJ102" i="9"/>
  <c r="BK102" i="9"/>
  <c r="BL102" i="9"/>
  <c r="D103" i="9"/>
  <c r="E103" i="9"/>
  <c r="F103" i="9"/>
  <c r="G103" i="9"/>
  <c r="H103" i="9"/>
  <c r="I103" i="9"/>
  <c r="J103" i="9"/>
  <c r="K103" i="9"/>
  <c r="L103" i="9"/>
  <c r="M103" i="9"/>
  <c r="N103" i="9"/>
  <c r="O103" i="9"/>
  <c r="P103" i="9"/>
  <c r="Q103" i="9"/>
  <c r="R103" i="9"/>
  <c r="S103" i="9"/>
  <c r="T103" i="9"/>
  <c r="U103" i="9"/>
  <c r="V103" i="9"/>
  <c r="W103" i="9"/>
  <c r="X103" i="9"/>
  <c r="Y103" i="9"/>
  <c r="Z103" i="9"/>
  <c r="AA103" i="9"/>
  <c r="AB103" i="9"/>
  <c r="AC103" i="9"/>
  <c r="AD103" i="9"/>
  <c r="AE103" i="9"/>
  <c r="AF103" i="9"/>
  <c r="AG103" i="9"/>
  <c r="AH103" i="9"/>
  <c r="AI103" i="9"/>
  <c r="AJ103" i="9"/>
  <c r="AK103" i="9"/>
  <c r="AL103" i="9"/>
  <c r="AM103" i="9"/>
  <c r="AN103" i="9"/>
  <c r="AO103" i="9"/>
  <c r="AP103" i="9"/>
  <c r="AQ103" i="9"/>
  <c r="AR103" i="9"/>
  <c r="AS103" i="9"/>
  <c r="AT103" i="9"/>
  <c r="AU103" i="9"/>
  <c r="AV103" i="9"/>
  <c r="AW103" i="9"/>
  <c r="AX103" i="9"/>
  <c r="AY103" i="9"/>
  <c r="AZ103" i="9"/>
  <c r="BA103" i="9"/>
  <c r="BB103" i="9"/>
  <c r="BC103" i="9"/>
  <c r="BD103" i="9"/>
  <c r="BE103" i="9"/>
  <c r="BF103" i="9"/>
  <c r="BG103" i="9"/>
  <c r="BH103" i="9"/>
  <c r="BI103" i="9"/>
  <c r="BJ103" i="9"/>
  <c r="BK103" i="9"/>
  <c r="BL103" i="9"/>
  <c r="H15" i="9"/>
  <c r="I15" i="9"/>
  <c r="D15" i="9"/>
  <c r="H19" i="9"/>
  <c r="I19" i="9"/>
  <c r="D19" i="9"/>
  <c r="H18" i="9"/>
  <c r="I18" i="9"/>
  <c r="D18" i="9"/>
  <c r="H17" i="9"/>
  <c r="I17" i="9"/>
  <c r="D17" i="9"/>
  <c r="H16" i="9"/>
  <c r="I16" i="9"/>
  <c r="D16" i="9"/>
  <c r="H14" i="9"/>
  <c r="I14" i="9"/>
  <c r="D14" i="9"/>
  <c r="H13" i="9"/>
  <c r="I13" i="9"/>
  <c r="D13" i="9"/>
  <c r="H12" i="9"/>
  <c r="I12" i="9"/>
  <c r="D12" i="9"/>
  <c r="D27" i="9"/>
  <c r="D29" i="9"/>
  <c r="D31" i="9"/>
  <c r="D32" i="9"/>
  <c r="A11" i="9"/>
  <c r="H11" i="9"/>
  <c r="I11" i="9"/>
  <c r="D11" i="9"/>
  <c r="A10" i="9"/>
  <c r="H10" i="9"/>
  <c r="I10" i="9"/>
  <c r="D10" i="9"/>
  <c r="D30" i="9"/>
  <c r="A9" i="9"/>
  <c r="H9" i="9"/>
  <c r="I9" i="9"/>
  <c r="D9" i="9"/>
  <c r="A8" i="9"/>
  <c r="H8" i="9"/>
  <c r="I8" i="9"/>
  <c r="D8" i="9"/>
  <c r="D28" i="9"/>
  <c r="A7" i="9"/>
  <c r="H7" i="9"/>
  <c r="I7" i="9"/>
  <c r="D7" i="9"/>
  <c r="A6" i="9"/>
  <c r="H6" i="9"/>
  <c r="I6" i="9"/>
  <c r="D6" i="9"/>
  <c r="D26" i="9"/>
  <c r="A5" i="9"/>
  <c r="H5" i="9"/>
  <c r="I5" i="9"/>
  <c r="D5" i="9"/>
  <c r="I4" i="9"/>
  <c r="D4" i="9"/>
  <c r="I3" i="9"/>
  <c r="D3" i="9"/>
  <c r="I2" i="9"/>
  <c r="D2" i="9"/>
  <c r="D1" i="9"/>
  <c r="M2" i="6"/>
  <c r="M33" i="6"/>
  <c r="M32" i="6"/>
  <c r="M31" i="6"/>
  <c r="M30" i="6"/>
  <c r="M29" i="6"/>
  <c r="M28" i="6"/>
  <c r="M27" i="6"/>
  <c r="M26" i="6"/>
  <c r="M25" i="6"/>
  <c r="M24" i="6"/>
  <c r="M23" i="6"/>
  <c r="M22" i="6"/>
  <c r="M21" i="6"/>
  <c r="M20" i="6"/>
  <c r="M19" i="6"/>
  <c r="M18" i="6"/>
  <c r="M17" i="6"/>
  <c r="M16" i="6"/>
  <c r="M15" i="6"/>
  <c r="M14" i="6"/>
  <c r="M13" i="6"/>
  <c r="M12" i="6"/>
  <c r="M11" i="6"/>
  <c r="M10" i="6"/>
  <c r="M9" i="6"/>
  <c r="M8" i="6"/>
  <c r="M7" i="6"/>
  <c r="M6" i="6"/>
  <c r="M5" i="6"/>
  <c r="M4" i="6"/>
  <c r="M3" i="6"/>
  <c r="Q32" i="6"/>
  <c r="A2" i="6"/>
  <c r="A3" i="6"/>
  <c r="A4" i="6"/>
  <c r="A5" i="6"/>
  <c r="A6" i="6"/>
  <c r="A7" i="6"/>
  <c r="A8" i="6"/>
  <c r="A9" i="6"/>
  <c r="A10" i="6"/>
  <c r="A11" i="6"/>
  <c r="A12" i="6"/>
  <c r="A13" i="6"/>
  <c r="A14" i="6"/>
  <c r="A15" i="6"/>
  <c r="A16" i="6"/>
  <c r="A17" i="6"/>
  <c r="A18" i="6"/>
  <c r="A19" i="6"/>
  <c r="A20" i="6"/>
  <c r="A21" i="6"/>
  <c r="A22" i="6"/>
  <c r="A23" i="6"/>
  <c r="A24" i="6"/>
  <c r="A25" i="6"/>
  <c r="A26" i="6"/>
  <c r="A27" i="6"/>
  <c r="A28" i="6"/>
  <c r="A29" i="6"/>
  <c r="A30" i="6"/>
  <c r="A31" i="6"/>
  <c r="A32" i="6"/>
  <c r="B2" i="6"/>
  <c r="B3" i="6"/>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C2" i="6"/>
  <c r="C3" i="6"/>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D2" i="6"/>
  <c r="D3" i="6"/>
  <c r="D4"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E2" i="6"/>
  <c r="E3" i="6"/>
  <c r="E4" i="6"/>
  <c r="E5" i="6"/>
  <c r="E6" i="6"/>
  <c r="E7" i="6"/>
  <c r="E8" i="6"/>
  <c r="E9" i="6"/>
  <c r="E10" i="6"/>
  <c r="E11" i="6"/>
  <c r="E12" i="6"/>
  <c r="E13" i="6"/>
  <c r="E14" i="6"/>
  <c r="E15" i="6"/>
  <c r="E16" i="6"/>
  <c r="E17" i="6"/>
  <c r="E18" i="6"/>
  <c r="E19" i="6"/>
  <c r="E20" i="6"/>
  <c r="E21" i="6"/>
  <c r="E22" i="6"/>
  <c r="E23" i="6"/>
  <c r="E24" i="6"/>
  <c r="E25" i="6"/>
  <c r="E26" i="6"/>
  <c r="E27" i="6"/>
  <c r="E28" i="6"/>
  <c r="E29" i="6"/>
  <c r="E30" i="6"/>
  <c r="E31" i="6"/>
  <c r="E32" i="6"/>
  <c r="F2" i="6"/>
  <c r="F3" i="6"/>
  <c r="F4" i="6"/>
  <c r="F5" i="6"/>
  <c r="F6" i="6"/>
  <c r="F7" i="6"/>
  <c r="F8" i="6"/>
  <c r="F9" i="6"/>
  <c r="F10" i="6"/>
  <c r="F11" i="6"/>
  <c r="F12" i="6"/>
  <c r="F13" i="6"/>
  <c r="F14" i="6"/>
  <c r="F15" i="6"/>
  <c r="F16" i="6"/>
  <c r="F17" i="6"/>
  <c r="F18" i="6"/>
  <c r="F19" i="6"/>
  <c r="F20" i="6"/>
  <c r="F21" i="6"/>
  <c r="F22" i="6"/>
  <c r="F23" i="6"/>
  <c r="F24" i="6"/>
  <c r="F25" i="6"/>
  <c r="F26" i="6"/>
  <c r="F27" i="6"/>
  <c r="F28" i="6"/>
  <c r="F29" i="6"/>
  <c r="F30" i="6"/>
  <c r="F31" i="6"/>
  <c r="F32" i="6"/>
  <c r="J32" i="6"/>
  <c r="P32" i="6"/>
  <c r="R32" i="6"/>
  <c r="S32" i="6"/>
  <c r="G36" i="6"/>
  <c r="J14" i="6"/>
  <c r="P14" i="6"/>
  <c r="E5" i="3"/>
  <c r="B15" i="3"/>
  <c r="I2" i="6"/>
  <c r="H2" i="6"/>
  <c r="G2" i="6"/>
  <c r="B23" i="3"/>
  <c r="B24" i="3"/>
  <c r="B29" i="3"/>
  <c r="C66" i="3"/>
  <c r="B54" i="3"/>
  <c r="B58" i="3"/>
  <c r="B59" i="3"/>
  <c r="C42" i="3"/>
  <c r="C43" i="3"/>
  <c r="C56" i="3"/>
  <c r="C57" i="3"/>
  <c r="D42" i="3"/>
  <c r="D56" i="3"/>
  <c r="C58" i="3"/>
  <c r="C59" i="3"/>
  <c r="D43" i="3"/>
  <c r="D57" i="3"/>
  <c r="E42" i="3"/>
  <c r="E56" i="3"/>
  <c r="D58" i="3"/>
  <c r="D59" i="3"/>
  <c r="E43" i="3"/>
  <c r="E57" i="3"/>
  <c r="F42" i="3"/>
  <c r="F56" i="3"/>
  <c r="E58" i="3"/>
  <c r="E59" i="3"/>
  <c r="F43" i="3"/>
  <c r="F57" i="3"/>
  <c r="G42" i="3"/>
  <c r="G56" i="3"/>
  <c r="F58" i="3"/>
  <c r="F59" i="3"/>
  <c r="G43" i="3"/>
  <c r="G57" i="3"/>
  <c r="H42" i="3"/>
  <c r="H56" i="3"/>
  <c r="G58" i="3"/>
  <c r="G59" i="3"/>
  <c r="H43" i="3"/>
  <c r="H57" i="3"/>
  <c r="I42" i="3"/>
  <c r="I56" i="3"/>
  <c r="H58" i="3"/>
  <c r="H59" i="3"/>
  <c r="I43" i="3"/>
  <c r="I57" i="3"/>
  <c r="J42" i="3"/>
  <c r="J56" i="3"/>
  <c r="I58" i="3"/>
  <c r="I59" i="3"/>
  <c r="J43" i="3"/>
  <c r="J57" i="3"/>
  <c r="K42" i="3"/>
  <c r="K56" i="3"/>
  <c r="J58" i="3"/>
  <c r="J59" i="3"/>
  <c r="K43" i="3"/>
  <c r="K57" i="3"/>
  <c r="L42" i="3"/>
  <c r="L56" i="3"/>
  <c r="K58" i="3"/>
  <c r="K59" i="3"/>
  <c r="L43" i="3"/>
  <c r="L57" i="3"/>
  <c r="B55" i="3"/>
  <c r="L58" i="3"/>
  <c r="L59" i="3"/>
  <c r="B60" i="3"/>
  <c r="B61" i="3"/>
  <c r="B62" i="3"/>
  <c r="B63" i="3"/>
  <c r="C45" i="3"/>
  <c r="D45" i="3"/>
  <c r="E45" i="3"/>
  <c r="F45" i="3"/>
  <c r="G45" i="3"/>
  <c r="H45" i="3"/>
  <c r="I45" i="3"/>
  <c r="J45" i="3"/>
  <c r="K45" i="3"/>
  <c r="L45" i="3"/>
  <c r="B46" i="3"/>
  <c r="B48" i="3"/>
  <c r="B49" i="3"/>
  <c r="B50" i="3"/>
  <c r="B66" i="3"/>
  <c r="E66" i="3"/>
  <c r="C67" i="3"/>
  <c r="E67" i="3"/>
  <c r="C50" i="3"/>
  <c r="D50" i="3"/>
  <c r="C63" i="3"/>
  <c r="D63" i="3"/>
  <c r="G3" i="6"/>
  <c r="G4" i="6"/>
  <c r="G5" i="6"/>
  <c r="G6" i="6"/>
  <c r="G7" i="6"/>
  <c r="G8" i="6"/>
  <c r="H3" i="6"/>
  <c r="H4" i="6"/>
  <c r="H5" i="6"/>
  <c r="H6" i="6"/>
  <c r="H7" i="6"/>
  <c r="H8" i="6"/>
  <c r="I3" i="6"/>
  <c r="I4" i="6"/>
  <c r="I5" i="6"/>
  <c r="I6" i="6"/>
  <c r="I7" i="6"/>
  <c r="I8" i="6"/>
  <c r="G9" i="6"/>
  <c r="H9" i="6"/>
  <c r="I9" i="6"/>
  <c r="C24" i="3"/>
  <c r="E80" i="9"/>
  <c r="F80" i="9"/>
  <c r="G80" i="9"/>
  <c r="H80" i="9"/>
  <c r="I80" i="9"/>
  <c r="J80" i="9"/>
  <c r="K80" i="9"/>
  <c r="L80" i="9"/>
  <c r="M80" i="9"/>
  <c r="N80" i="9"/>
  <c r="O80" i="9"/>
  <c r="P80" i="9"/>
  <c r="Q80" i="9"/>
  <c r="R80" i="9"/>
  <c r="S80" i="9"/>
  <c r="T80" i="9"/>
  <c r="U80" i="9"/>
  <c r="V80" i="9"/>
  <c r="W80" i="9"/>
  <c r="X80" i="9"/>
  <c r="Y80" i="9"/>
  <c r="Z80" i="9"/>
  <c r="AA80" i="9"/>
  <c r="AB80" i="9"/>
  <c r="AC80" i="9"/>
  <c r="AD80" i="9"/>
  <c r="AE80" i="9"/>
  <c r="AF80" i="9"/>
  <c r="AG80" i="9"/>
  <c r="AH80" i="9"/>
  <c r="AI80" i="9"/>
  <c r="AJ80" i="9"/>
  <c r="AK80" i="9"/>
  <c r="AL80" i="9"/>
  <c r="AM80" i="9"/>
  <c r="AN80" i="9"/>
  <c r="AO80" i="9"/>
  <c r="AP80" i="9"/>
  <c r="AQ80" i="9"/>
  <c r="AR80" i="9"/>
  <c r="AS80" i="9"/>
  <c r="AT80" i="9"/>
  <c r="AU80" i="9"/>
  <c r="AV80" i="9"/>
  <c r="AW80" i="9"/>
  <c r="AX80" i="9"/>
  <c r="AY80" i="9"/>
  <c r="AZ80" i="9"/>
  <c r="BA80" i="9"/>
  <c r="BB80" i="9"/>
  <c r="BC80" i="9"/>
  <c r="BD80" i="9"/>
  <c r="BE80" i="9"/>
  <c r="BF80" i="9"/>
  <c r="BG80" i="9"/>
  <c r="BH80" i="9"/>
  <c r="BI80" i="9"/>
  <c r="BJ80" i="9"/>
  <c r="BK80" i="9"/>
  <c r="BL80" i="9"/>
  <c r="V81" i="9"/>
  <c r="V84" i="9"/>
  <c r="W84" i="9"/>
  <c r="X84" i="9"/>
  <c r="Y84" i="9"/>
  <c r="Z84" i="9"/>
  <c r="AA84" i="9"/>
  <c r="AB84" i="9"/>
  <c r="AC84" i="9"/>
  <c r="AD84" i="9"/>
  <c r="AE84" i="9"/>
  <c r="AJ84" i="9"/>
  <c r="AM84" i="9"/>
  <c r="AN84" i="9"/>
  <c r="AO84" i="9"/>
  <c r="AQ84" i="9"/>
  <c r="AR84" i="9"/>
  <c r="AS84" i="9"/>
  <c r="AU84" i="9"/>
  <c r="AW84" i="9"/>
  <c r="AX84" i="9"/>
  <c r="AY84" i="9"/>
  <c r="BA84" i="9"/>
  <c r="BC84" i="9"/>
  <c r="BD84" i="9"/>
  <c r="BE84" i="9"/>
  <c r="BG84" i="9"/>
  <c r="BI84" i="9"/>
  <c r="BJ84" i="9"/>
  <c r="BK84" i="9"/>
  <c r="V85" i="9"/>
  <c r="W85" i="9"/>
  <c r="X85" i="9"/>
  <c r="Y85" i="9"/>
  <c r="Z85" i="9"/>
  <c r="AA85" i="9"/>
  <c r="AB85" i="9"/>
  <c r="AC85" i="9"/>
  <c r="AD85" i="9"/>
  <c r="AE85" i="9"/>
  <c r="AJ85" i="9"/>
  <c r="AM85" i="9"/>
  <c r="AN85" i="9"/>
  <c r="AO85" i="9"/>
  <c r="AQ85" i="9"/>
  <c r="AR85" i="9"/>
  <c r="AS85" i="9"/>
  <c r="AU85" i="9"/>
  <c r="AW85" i="9"/>
  <c r="AX85" i="9"/>
  <c r="AY85" i="9"/>
  <c r="BA85" i="9"/>
  <c r="BC85" i="9"/>
  <c r="BD85" i="9"/>
  <c r="BE85" i="9"/>
  <c r="BG85" i="9"/>
  <c r="BI85" i="9"/>
  <c r="BJ85" i="9"/>
  <c r="BK85" i="9"/>
  <c r="V86" i="9"/>
  <c r="W86" i="9"/>
  <c r="X86" i="9"/>
  <c r="Y86" i="9"/>
  <c r="Z86" i="9"/>
  <c r="AA86" i="9"/>
  <c r="AB86" i="9"/>
  <c r="AC86" i="9"/>
  <c r="AD86" i="9"/>
  <c r="AE86" i="9"/>
  <c r="AJ86" i="9"/>
  <c r="AM86" i="9"/>
  <c r="AN86" i="9"/>
  <c r="AO86" i="9"/>
  <c r="AQ86" i="9"/>
  <c r="AR86" i="9"/>
  <c r="AS86" i="9"/>
  <c r="AU86" i="9"/>
  <c r="AW86" i="9"/>
  <c r="AX86" i="9"/>
  <c r="AY86" i="9"/>
  <c r="BA86" i="9"/>
  <c r="BC86" i="9"/>
  <c r="BD86" i="9"/>
  <c r="BE86" i="9"/>
  <c r="BG86" i="9"/>
  <c r="BI86" i="9"/>
  <c r="BJ86" i="9"/>
  <c r="BK86" i="9"/>
  <c r="V87" i="9"/>
  <c r="W87" i="9"/>
  <c r="X87" i="9"/>
  <c r="Y87" i="9"/>
  <c r="Z87" i="9"/>
  <c r="AA87" i="9"/>
  <c r="AB87" i="9"/>
  <c r="AC87" i="9"/>
  <c r="AD87" i="9"/>
  <c r="AE87" i="9"/>
  <c r="AJ87" i="9"/>
  <c r="AM87" i="9"/>
  <c r="AN87" i="9"/>
  <c r="AO87" i="9"/>
  <c r="AQ87" i="9"/>
  <c r="AR87" i="9"/>
  <c r="AS87" i="9"/>
  <c r="AU87" i="9"/>
  <c r="AW87" i="9"/>
  <c r="AX87" i="9"/>
  <c r="AY87" i="9"/>
  <c r="BA87" i="9"/>
  <c r="BC87" i="9"/>
  <c r="BD87" i="9"/>
  <c r="BE87" i="9"/>
  <c r="BG87" i="9"/>
  <c r="BI87" i="9"/>
  <c r="BJ87" i="9"/>
  <c r="BK87" i="9"/>
  <c r="V88" i="9"/>
  <c r="W88" i="9"/>
  <c r="X88" i="9"/>
  <c r="Y88" i="9"/>
  <c r="Z88" i="9"/>
  <c r="AA88" i="9"/>
  <c r="AB88" i="9"/>
  <c r="AC88" i="9"/>
  <c r="AD88" i="9"/>
  <c r="AE88" i="9"/>
  <c r="AJ88" i="9"/>
  <c r="AM88" i="9"/>
  <c r="AN88" i="9"/>
  <c r="AO88" i="9"/>
  <c r="AQ88" i="9"/>
  <c r="AR88" i="9"/>
  <c r="AS88" i="9"/>
  <c r="AU88" i="9"/>
  <c r="AW88" i="9"/>
  <c r="AX88" i="9"/>
  <c r="AY88" i="9"/>
  <c r="BA88" i="9"/>
  <c r="BC88" i="9"/>
  <c r="BD88" i="9"/>
  <c r="BE88" i="9"/>
  <c r="BG88" i="9"/>
  <c r="BI88" i="9"/>
  <c r="BJ88" i="9"/>
  <c r="BK88" i="9"/>
  <c r="V89" i="9"/>
  <c r="W89" i="9"/>
  <c r="X89" i="9"/>
  <c r="Y89" i="9"/>
  <c r="Z89" i="9"/>
  <c r="AA89" i="9"/>
  <c r="AB89" i="9"/>
  <c r="AC89" i="9"/>
  <c r="AD89" i="9"/>
  <c r="AE89" i="9"/>
  <c r="AJ89" i="9"/>
  <c r="AM89" i="9"/>
  <c r="AN89" i="9"/>
  <c r="AO89" i="9"/>
  <c r="AQ89" i="9"/>
  <c r="AR89" i="9"/>
  <c r="AS89" i="9"/>
  <c r="AU89" i="9"/>
  <c r="AW89" i="9"/>
  <c r="AX89" i="9"/>
  <c r="AY89" i="9"/>
  <c r="BA89" i="9"/>
  <c r="BC89" i="9"/>
  <c r="BD89" i="9"/>
  <c r="BE89" i="9"/>
  <c r="BG89" i="9"/>
  <c r="BI89" i="9"/>
  <c r="BJ89" i="9"/>
  <c r="BK89" i="9"/>
  <c r="V90" i="9"/>
  <c r="W90" i="9"/>
  <c r="X90" i="9"/>
  <c r="Y90" i="9"/>
  <c r="Z90" i="9"/>
  <c r="AA90" i="9"/>
  <c r="AB90" i="9"/>
  <c r="AC90" i="9"/>
  <c r="AD90" i="9"/>
  <c r="AE90" i="9"/>
  <c r="AJ90" i="9"/>
  <c r="AM90" i="9"/>
  <c r="AN90" i="9"/>
  <c r="AO90" i="9"/>
  <c r="AQ90" i="9"/>
  <c r="AR90" i="9"/>
  <c r="AS90" i="9"/>
  <c r="AU90" i="9"/>
  <c r="AW90" i="9"/>
  <c r="AX90" i="9"/>
  <c r="AY90" i="9"/>
  <c r="BA90" i="9"/>
  <c r="BC90" i="9"/>
  <c r="BD90" i="9"/>
  <c r="BE90" i="9"/>
  <c r="BG90" i="9"/>
  <c r="BI90" i="9"/>
  <c r="BJ90" i="9"/>
  <c r="BK90" i="9"/>
  <c r="V91" i="9"/>
  <c r="W91" i="9"/>
  <c r="X91" i="9"/>
  <c r="Y91" i="9"/>
  <c r="Z91" i="9"/>
  <c r="AA91" i="9"/>
  <c r="AB91" i="9"/>
  <c r="AC91" i="9"/>
  <c r="AD91" i="9"/>
  <c r="AE91" i="9"/>
  <c r="AJ91" i="9"/>
  <c r="AM91" i="9"/>
  <c r="AN91" i="9"/>
  <c r="AO91" i="9"/>
  <c r="AQ91" i="9"/>
  <c r="AR91" i="9"/>
  <c r="AS91" i="9"/>
  <c r="AU91" i="9"/>
  <c r="AW91" i="9"/>
  <c r="AX91" i="9"/>
  <c r="AY91" i="9"/>
  <c r="BA91" i="9"/>
  <c r="BC91" i="9"/>
  <c r="BD91" i="9"/>
  <c r="BE91" i="9"/>
  <c r="BG91" i="9"/>
  <c r="BI91" i="9"/>
  <c r="BJ91" i="9"/>
  <c r="BK91" i="9"/>
  <c r="V92" i="9"/>
  <c r="W92" i="9"/>
  <c r="X92" i="9"/>
  <c r="Y92" i="9"/>
  <c r="Z92" i="9"/>
  <c r="AA92" i="9"/>
  <c r="AB92" i="9"/>
  <c r="AC92" i="9"/>
  <c r="AD92" i="9"/>
  <c r="AE92" i="9"/>
  <c r="AJ92" i="9"/>
  <c r="AM92" i="9"/>
  <c r="AN92" i="9"/>
  <c r="AO92" i="9"/>
  <c r="AQ92" i="9"/>
  <c r="AR92" i="9"/>
  <c r="AS92" i="9"/>
  <c r="AU92" i="9"/>
  <c r="AW92" i="9"/>
  <c r="AX92" i="9"/>
  <c r="AY92" i="9"/>
  <c r="BA92" i="9"/>
  <c r="BC92" i="9"/>
  <c r="BD92" i="9"/>
  <c r="BE92" i="9"/>
  <c r="BG92" i="9"/>
  <c r="BI92" i="9"/>
  <c r="BJ92" i="9"/>
  <c r="BK92" i="9"/>
  <c r="V105" i="9"/>
  <c r="V106" i="9"/>
  <c r="V107" i="9"/>
  <c r="V108" i="9"/>
  <c r="V109" i="9"/>
  <c r="V110" i="9"/>
  <c r="V111" i="9"/>
  <c r="V112" i="9"/>
  <c r="V113" i="9"/>
  <c r="M65" i="9"/>
  <c r="AE65" i="9"/>
  <c r="M68" i="9"/>
  <c r="M71" i="9"/>
  <c r="M74" i="9"/>
  <c r="AF84" i="9"/>
  <c r="AG84" i="9"/>
  <c r="AF85" i="9"/>
  <c r="AG85" i="9"/>
  <c r="AF86" i="9"/>
  <c r="AG86" i="9"/>
  <c r="AF87" i="9"/>
  <c r="AG87" i="9"/>
  <c r="AF88" i="9"/>
  <c r="AG88" i="9"/>
  <c r="AF89" i="9"/>
  <c r="AG89" i="9"/>
  <c r="AF90" i="9"/>
  <c r="AG90" i="9"/>
  <c r="AF91" i="9"/>
  <c r="AG91" i="9"/>
  <c r="AF92" i="9"/>
  <c r="AG92" i="9"/>
  <c r="AH92" i="9"/>
  <c r="AI92" i="9"/>
  <c r="AK92" i="9"/>
  <c r="AL92" i="9"/>
  <c r="AP92" i="9"/>
  <c r="AT92" i="9"/>
  <c r="AV92" i="9"/>
  <c r="AZ92" i="9"/>
  <c r="BB92" i="9"/>
  <c r="BF92" i="9"/>
  <c r="BH92" i="9"/>
  <c r="BL92" i="9"/>
  <c r="AH91" i="9"/>
  <c r="AI91" i="9"/>
  <c r="AK91" i="9"/>
  <c r="AL91" i="9"/>
  <c r="AP91" i="9"/>
  <c r="AT91" i="9"/>
  <c r="AV91" i="9"/>
  <c r="AZ91" i="9"/>
  <c r="BB91" i="9"/>
  <c r="BF91" i="9"/>
  <c r="BH91" i="9"/>
  <c r="BL91" i="9"/>
  <c r="AH90" i="9"/>
  <c r="AI90" i="9"/>
  <c r="AK90" i="9"/>
  <c r="AL90" i="9"/>
  <c r="AP90" i="9"/>
  <c r="AT90" i="9"/>
  <c r="AV90" i="9"/>
  <c r="AZ90" i="9"/>
  <c r="BB90" i="9"/>
  <c r="BF90" i="9"/>
  <c r="BH90" i="9"/>
  <c r="BL90" i="9"/>
  <c r="AH89" i="9"/>
  <c r="AI89" i="9"/>
  <c r="AK89" i="9"/>
  <c r="AL89" i="9"/>
  <c r="AP89" i="9"/>
  <c r="AT89" i="9"/>
  <c r="AV89" i="9"/>
  <c r="AZ89" i="9"/>
  <c r="BB89" i="9"/>
  <c r="BF89" i="9"/>
  <c r="BH89" i="9"/>
  <c r="BL89" i="9"/>
  <c r="AH88" i="9"/>
  <c r="AI88" i="9"/>
  <c r="AK88" i="9"/>
  <c r="AL88" i="9"/>
  <c r="AP88" i="9"/>
  <c r="AT88" i="9"/>
  <c r="AV88" i="9"/>
  <c r="AZ88" i="9"/>
  <c r="BB88" i="9"/>
  <c r="BF88" i="9"/>
  <c r="BH88" i="9"/>
  <c r="BL88" i="9"/>
  <c r="AH87" i="9"/>
  <c r="AI87" i="9"/>
  <c r="AK87" i="9"/>
  <c r="AL87" i="9"/>
  <c r="AP87" i="9"/>
  <c r="AT87" i="9"/>
  <c r="AV87" i="9"/>
  <c r="AZ87" i="9"/>
  <c r="BB87" i="9"/>
  <c r="BF87" i="9"/>
  <c r="BH87" i="9"/>
  <c r="BL87" i="9"/>
  <c r="AH86" i="9"/>
  <c r="AI86" i="9"/>
  <c r="AK86" i="9"/>
  <c r="AL86" i="9"/>
  <c r="AP86" i="9"/>
  <c r="AT86" i="9"/>
  <c r="AV86" i="9"/>
  <c r="AZ86" i="9"/>
  <c r="BB86" i="9"/>
  <c r="BF86" i="9"/>
  <c r="BH86" i="9"/>
  <c r="BL86" i="9"/>
  <c r="AH85" i="9"/>
  <c r="AI85" i="9"/>
  <c r="AK85" i="9"/>
  <c r="AL85" i="9"/>
  <c r="AP85" i="9"/>
  <c r="AT85" i="9"/>
  <c r="AV85" i="9"/>
  <c r="AZ85" i="9"/>
  <c r="BB85" i="9"/>
  <c r="BF85" i="9"/>
  <c r="BH85" i="9"/>
  <c r="BL85" i="9"/>
  <c r="AH84" i="9"/>
  <c r="AI84" i="9"/>
  <c r="AK84" i="9"/>
  <c r="AL84" i="9"/>
  <c r="AP84" i="9"/>
  <c r="AT84" i="9"/>
  <c r="AV84" i="9"/>
  <c r="AZ84" i="9"/>
  <c r="BB84" i="9"/>
  <c r="BF84" i="9"/>
  <c r="BH84" i="9"/>
  <c r="BL84" i="9"/>
  <c r="D105" i="9"/>
  <c r="E105" i="9"/>
  <c r="F105" i="9"/>
  <c r="G105" i="9"/>
  <c r="H105" i="9"/>
  <c r="I105" i="9"/>
  <c r="J105" i="9"/>
  <c r="K105" i="9"/>
  <c r="L105" i="9"/>
  <c r="M105" i="9"/>
  <c r="N105" i="9"/>
  <c r="O105" i="9"/>
  <c r="P105" i="9"/>
  <c r="Q105" i="9"/>
  <c r="R105" i="9"/>
  <c r="S105" i="9"/>
  <c r="T105" i="9"/>
  <c r="U105" i="9"/>
  <c r="W105" i="9"/>
  <c r="X105" i="9"/>
  <c r="Y105" i="9"/>
  <c r="Z105" i="9"/>
  <c r="AA105" i="9"/>
  <c r="AB105" i="9"/>
  <c r="AC105" i="9"/>
  <c r="AD105" i="9"/>
  <c r="AE105" i="9"/>
  <c r="AF105" i="9"/>
  <c r="AG105" i="9"/>
  <c r="AH105" i="9"/>
  <c r="AI105" i="9"/>
  <c r="AJ105" i="9"/>
  <c r="AK105" i="9"/>
  <c r="AL105" i="9"/>
  <c r="AM105" i="9"/>
  <c r="AN105" i="9"/>
  <c r="AO105" i="9"/>
  <c r="AP105" i="9"/>
  <c r="AQ105" i="9"/>
  <c r="AR105" i="9"/>
  <c r="AS105" i="9"/>
  <c r="AT105" i="9"/>
  <c r="AU105" i="9"/>
  <c r="AV105" i="9"/>
  <c r="AW105" i="9"/>
  <c r="AX105" i="9"/>
  <c r="AY105" i="9"/>
  <c r="AZ105" i="9"/>
  <c r="BA105" i="9"/>
  <c r="BB105" i="9"/>
  <c r="BC105" i="9"/>
  <c r="BD105" i="9"/>
  <c r="BE105" i="9"/>
  <c r="BF105" i="9"/>
  <c r="BG105" i="9"/>
  <c r="BH105" i="9"/>
  <c r="BI105" i="9"/>
  <c r="BJ105" i="9"/>
  <c r="BK105" i="9"/>
  <c r="BL105" i="9"/>
  <c r="D106" i="9"/>
  <c r="E106" i="9"/>
  <c r="F106" i="9"/>
  <c r="G106" i="9"/>
  <c r="H106" i="9"/>
  <c r="I106" i="9"/>
  <c r="J106" i="9"/>
  <c r="K106" i="9"/>
  <c r="L106" i="9"/>
  <c r="M106" i="9"/>
  <c r="N106" i="9"/>
  <c r="O106" i="9"/>
  <c r="P106" i="9"/>
  <c r="Q106" i="9"/>
  <c r="R106" i="9"/>
  <c r="S106" i="9"/>
  <c r="T106" i="9"/>
  <c r="U106" i="9"/>
  <c r="W106" i="9"/>
  <c r="X106" i="9"/>
  <c r="Y106" i="9"/>
  <c r="Z106" i="9"/>
  <c r="AA106" i="9"/>
  <c r="AB106" i="9"/>
  <c r="AC106" i="9"/>
  <c r="AD106" i="9"/>
  <c r="AE106" i="9"/>
  <c r="AF106" i="9"/>
  <c r="AG106" i="9"/>
  <c r="AH106" i="9"/>
  <c r="AI106" i="9"/>
  <c r="AJ106" i="9"/>
  <c r="AK106" i="9"/>
  <c r="AL106" i="9"/>
  <c r="AM106" i="9"/>
  <c r="AN106" i="9"/>
  <c r="AO106" i="9"/>
  <c r="AP106" i="9"/>
  <c r="AQ106" i="9"/>
  <c r="AR106" i="9"/>
  <c r="AS106" i="9"/>
  <c r="AT106" i="9"/>
  <c r="AU106" i="9"/>
  <c r="AV106" i="9"/>
  <c r="AW106" i="9"/>
  <c r="AX106" i="9"/>
  <c r="AY106" i="9"/>
  <c r="AZ106" i="9"/>
  <c r="BA106" i="9"/>
  <c r="BB106" i="9"/>
  <c r="BC106" i="9"/>
  <c r="BD106" i="9"/>
  <c r="BE106" i="9"/>
  <c r="BF106" i="9"/>
  <c r="BG106" i="9"/>
  <c r="BH106" i="9"/>
  <c r="BI106" i="9"/>
  <c r="BJ106" i="9"/>
  <c r="BK106" i="9"/>
  <c r="BL106" i="9"/>
  <c r="D107" i="9"/>
  <c r="E107" i="9"/>
  <c r="F107" i="9"/>
  <c r="G107" i="9"/>
  <c r="H107" i="9"/>
  <c r="I107" i="9"/>
  <c r="J107" i="9"/>
  <c r="K107" i="9"/>
  <c r="L107" i="9"/>
  <c r="M107" i="9"/>
  <c r="N107" i="9"/>
  <c r="O107" i="9"/>
  <c r="P107" i="9"/>
  <c r="Q107" i="9"/>
  <c r="R107" i="9"/>
  <c r="S107" i="9"/>
  <c r="T107" i="9"/>
  <c r="U107" i="9"/>
  <c r="W107" i="9"/>
  <c r="X107" i="9"/>
  <c r="Y107" i="9"/>
  <c r="Z107" i="9"/>
  <c r="AA107" i="9"/>
  <c r="AB107" i="9"/>
  <c r="AC107" i="9"/>
  <c r="AD107" i="9"/>
  <c r="AE107" i="9"/>
  <c r="AF107" i="9"/>
  <c r="AG107" i="9"/>
  <c r="AH107" i="9"/>
  <c r="AI107" i="9"/>
  <c r="AJ107" i="9"/>
  <c r="AK107" i="9"/>
  <c r="AL107" i="9"/>
  <c r="AM107" i="9"/>
  <c r="AN107" i="9"/>
  <c r="AO107" i="9"/>
  <c r="AP107" i="9"/>
  <c r="AQ107" i="9"/>
  <c r="AR107" i="9"/>
  <c r="AS107" i="9"/>
  <c r="AT107" i="9"/>
  <c r="AU107" i="9"/>
  <c r="AV107" i="9"/>
  <c r="AW107" i="9"/>
  <c r="AX107" i="9"/>
  <c r="AY107" i="9"/>
  <c r="AZ107" i="9"/>
  <c r="BA107" i="9"/>
  <c r="BB107" i="9"/>
  <c r="BC107" i="9"/>
  <c r="BD107" i="9"/>
  <c r="BE107" i="9"/>
  <c r="BF107" i="9"/>
  <c r="BG107" i="9"/>
  <c r="BH107" i="9"/>
  <c r="BI107" i="9"/>
  <c r="BJ107" i="9"/>
  <c r="BK107" i="9"/>
  <c r="BL107" i="9"/>
  <c r="D108" i="9"/>
  <c r="E108" i="9"/>
  <c r="F108" i="9"/>
  <c r="G108" i="9"/>
  <c r="H108" i="9"/>
  <c r="I108" i="9"/>
  <c r="J108" i="9"/>
  <c r="K108" i="9"/>
  <c r="L108" i="9"/>
  <c r="M108" i="9"/>
  <c r="N108" i="9"/>
  <c r="O108" i="9"/>
  <c r="P108" i="9"/>
  <c r="Q108" i="9"/>
  <c r="R108" i="9"/>
  <c r="S108" i="9"/>
  <c r="T108" i="9"/>
  <c r="U108" i="9"/>
  <c r="W108" i="9"/>
  <c r="X108" i="9"/>
  <c r="Y108" i="9"/>
  <c r="Z108" i="9"/>
  <c r="AA108" i="9"/>
  <c r="AB108" i="9"/>
  <c r="AC108" i="9"/>
  <c r="AD108" i="9"/>
  <c r="AE108" i="9"/>
  <c r="AF108" i="9"/>
  <c r="AG108" i="9"/>
  <c r="AH108" i="9"/>
  <c r="AI108" i="9"/>
  <c r="AJ108" i="9"/>
  <c r="AK108" i="9"/>
  <c r="AL108" i="9"/>
  <c r="AM108" i="9"/>
  <c r="AN108" i="9"/>
  <c r="AO108" i="9"/>
  <c r="AP108" i="9"/>
  <c r="AQ108" i="9"/>
  <c r="AR108" i="9"/>
  <c r="AS108" i="9"/>
  <c r="AT108" i="9"/>
  <c r="AU108" i="9"/>
  <c r="AV108" i="9"/>
  <c r="AW108" i="9"/>
  <c r="AX108" i="9"/>
  <c r="AY108" i="9"/>
  <c r="AZ108" i="9"/>
  <c r="BA108" i="9"/>
  <c r="BB108" i="9"/>
  <c r="BC108" i="9"/>
  <c r="BD108" i="9"/>
  <c r="BE108" i="9"/>
  <c r="BF108" i="9"/>
  <c r="BG108" i="9"/>
  <c r="BH108" i="9"/>
  <c r="BI108" i="9"/>
  <c r="BJ108" i="9"/>
  <c r="BK108" i="9"/>
  <c r="BL108" i="9"/>
  <c r="D109" i="9"/>
  <c r="E109" i="9"/>
  <c r="F109" i="9"/>
  <c r="G109" i="9"/>
  <c r="H109" i="9"/>
  <c r="I109" i="9"/>
  <c r="J109" i="9"/>
  <c r="K109" i="9"/>
  <c r="L109" i="9"/>
  <c r="M109" i="9"/>
  <c r="N109" i="9"/>
  <c r="O109" i="9"/>
  <c r="P109" i="9"/>
  <c r="Q109" i="9"/>
  <c r="R109" i="9"/>
  <c r="S109" i="9"/>
  <c r="T109" i="9"/>
  <c r="U109" i="9"/>
  <c r="W109" i="9"/>
  <c r="X109" i="9"/>
  <c r="Y109" i="9"/>
  <c r="Z109" i="9"/>
  <c r="AA109" i="9"/>
  <c r="AB109" i="9"/>
  <c r="AC109" i="9"/>
  <c r="AD109" i="9"/>
  <c r="AE109" i="9"/>
  <c r="AF109" i="9"/>
  <c r="AG109" i="9"/>
  <c r="AH109" i="9"/>
  <c r="AI109" i="9"/>
  <c r="AJ109" i="9"/>
  <c r="AK109" i="9"/>
  <c r="AL109" i="9"/>
  <c r="AM109" i="9"/>
  <c r="AN109" i="9"/>
  <c r="AO109" i="9"/>
  <c r="AP109" i="9"/>
  <c r="AQ109" i="9"/>
  <c r="AR109" i="9"/>
  <c r="AS109" i="9"/>
  <c r="AT109" i="9"/>
  <c r="AU109" i="9"/>
  <c r="AV109" i="9"/>
  <c r="AW109" i="9"/>
  <c r="AX109" i="9"/>
  <c r="AY109" i="9"/>
  <c r="AZ109" i="9"/>
  <c r="BA109" i="9"/>
  <c r="BB109" i="9"/>
  <c r="BC109" i="9"/>
  <c r="BD109" i="9"/>
  <c r="BE109" i="9"/>
  <c r="BF109" i="9"/>
  <c r="BG109" i="9"/>
  <c r="BH109" i="9"/>
  <c r="BI109" i="9"/>
  <c r="BJ109" i="9"/>
  <c r="BK109" i="9"/>
  <c r="BL109" i="9"/>
  <c r="D110" i="9"/>
  <c r="E110" i="9"/>
  <c r="F110" i="9"/>
  <c r="G110" i="9"/>
  <c r="H110" i="9"/>
  <c r="I110" i="9"/>
  <c r="J110" i="9"/>
  <c r="K110" i="9"/>
  <c r="L110" i="9"/>
  <c r="M110" i="9"/>
  <c r="N110" i="9"/>
  <c r="O110" i="9"/>
  <c r="P110" i="9"/>
  <c r="Q110" i="9"/>
  <c r="R110" i="9"/>
  <c r="S110" i="9"/>
  <c r="T110" i="9"/>
  <c r="U110" i="9"/>
  <c r="W110" i="9"/>
  <c r="X110" i="9"/>
  <c r="Y110" i="9"/>
  <c r="Z110" i="9"/>
  <c r="AA110" i="9"/>
  <c r="AB110" i="9"/>
  <c r="AC110" i="9"/>
  <c r="AD110" i="9"/>
  <c r="AE110" i="9"/>
  <c r="AF110" i="9"/>
  <c r="AG110" i="9"/>
  <c r="AH110" i="9"/>
  <c r="AI110" i="9"/>
  <c r="AJ110" i="9"/>
  <c r="AK110" i="9"/>
  <c r="AL110" i="9"/>
  <c r="AM110" i="9"/>
  <c r="AN110" i="9"/>
  <c r="AO110" i="9"/>
  <c r="AP110" i="9"/>
  <c r="AQ110" i="9"/>
  <c r="AR110" i="9"/>
  <c r="AS110" i="9"/>
  <c r="AT110" i="9"/>
  <c r="AU110" i="9"/>
  <c r="AV110" i="9"/>
  <c r="AW110" i="9"/>
  <c r="AX110" i="9"/>
  <c r="AY110" i="9"/>
  <c r="AZ110" i="9"/>
  <c r="BA110" i="9"/>
  <c r="BB110" i="9"/>
  <c r="BC110" i="9"/>
  <c r="BD110" i="9"/>
  <c r="BE110" i="9"/>
  <c r="BF110" i="9"/>
  <c r="BG110" i="9"/>
  <c r="BH110" i="9"/>
  <c r="BI110" i="9"/>
  <c r="BJ110" i="9"/>
  <c r="BK110" i="9"/>
  <c r="BL110" i="9"/>
  <c r="D111" i="9"/>
  <c r="E111" i="9"/>
  <c r="F111" i="9"/>
  <c r="G111" i="9"/>
  <c r="H111" i="9"/>
  <c r="I111" i="9"/>
  <c r="J111" i="9"/>
  <c r="K111" i="9"/>
  <c r="L111" i="9"/>
  <c r="M111" i="9"/>
  <c r="N111" i="9"/>
  <c r="O111" i="9"/>
  <c r="P111" i="9"/>
  <c r="Q111" i="9"/>
  <c r="R111" i="9"/>
  <c r="S111" i="9"/>
  <c r="T111" i="9"/>
  <c r="U111" i="9"/>
  <c r="W111" i="9"/>
  <c r="X111" i="9"/>
  <c r="Y111" i="9"/>
  <c r="Z111" i="9"/>
  <c r="AA111" i="9"/>
  <c r="AB111" i="9"/>
  <c r="AC111" i="9"/>
  <c r="AD111" i="9"/>
  <c r="AE111" i="9"/>
  <c r="AF111" i="9"/>
  <c r="AG111" i="9"/>
  <c r="AH111" i="9"/>
  <c r="AI111" i="9"/>
  <c r="AJ111" i="9"/>
  <c r="AK111" i="9"/>
  <c r="AL111" i="9"/>
  <c r="AM111" i="9"/>
  <c r="AN111" i="9"/>
  <c r="AO111" i="9"/>
  <c r="AP111" i="9"/>
  <c r="AQ111" i="9"/>
  <c r="AR111" i="9"/>
  <c r="AS111" i="9"/>
  <c r="AT111" i="9"/>
  <c r="AU111" i="9"/>
  <c r="AV111" i="9"/>
  <c r="AW111" i="9"/>
  <c r="AX111" i="9"/>
  <c r="AY111" i="9"/>
  <c r="AZ111" i="9"/>
  <c r="BA111" i="9"/>
  <c r="BB111" i="9"/>
  <c r="BC111" i="9"/>
  <c r="BD111" i="9"/>
  <c r="BE111" i="9"/>
  <c r="BF111" i="9"/>
  <c r="BG111" i="9"/>
  <c r="BH111" i="9"/>
  <c r="BI111" i="9"/>
  <c r="BJ111" i="9"/>
  <c r="BK111" i="9"/>
  <c r="BL111" i="9"/>
  <c r="D112" i="9"/>
  <c r="E112" i="9"/>
  <c r="F112" i="9"/>
  <c r="G112" i="9"/>
  <c r="H112" i="9"/>
  <c r="I112" i="9"/>
  <c r="J112" i="9"/>
  <c r="K112" i="9"/>
  <c r="L112" i="9"/>
  <c r="M112" i="9"/>
  <c r="N112" i="9"/>
  <c r="O112" i="9"/>
  <c r="P112" i="9"/>
  <c r="Q112" i="9"/>
  <c r="R112" i="9"/>
  <c r="S112" i="9"/>
  <c r="T112" i="9"/>
  <c r="U112" i="9"/>
  <c r="W112" i="9"/>
  <c r="X112" i="9"/>
  <c r="Y112" i="9"/>
  <c r="Z112" i="9"/>
  <c r="AA112" i="9"/>
  <c r="AB112" i="9"/>
  <c r="AC112" i="9"/>
  <c r="AD112" i="9"/>
  <c r="AE112" i="9"/>
  <c r="AF112" i="9"/>
  <c r="AG112" i="9"/>
  <c r="AH112" i="9"/>
  <c r="AI112" i="9"/>
  <c r="AJ112" i="9"/>
  <c r="AK112" i="9"/>
  <c r="AL112" i="9"/>
  <c r="AM112" i="9"/>
  <c r="AN112" i="9"/>
  <c r="AO112" i="9"/>
  <c r="AP112" i="9"/>
  <c r="AQ112" i="9"/>
  <c r="AR112" i="9"/>
  <c r="AS112" i="9"/>
  <c r="AT112" i="9"/>
  <c r="AU112" i="9"/>
  <c r="AV112" i="9"/>
  <c r="AW112" i="9"/>
  <c r="AX112" i="9"/>
  <c r="AY112" i="9"/>
  <c r="AZ112" i="9"/>
  <c r="BA112" i="9"/>
  <c r="BB112" i="9"/>
  <c r="BC112" i="9"/>
  <c r="BD112" i="9"/>
  <c r="BE112" i="9"/>
  <c r="BF112" i="9"/>
  <c r="BG112" i="9"/>
  <c r="BH112" i="9"/>
  <c r="BI112" i="9"/>
  <c r="BJ112" i="9"/>
  <c r="BK112" i="9"/>
  <c r="BL112" i="9"/>
  <c r="D113" i="9"/>
  <c r="E113" i="9"/>
  <c r="F113" i="9"/>
  <c r="G113" i="9"/>
  <c r="H113" i="9"/>
  <c r="I113" i="9"/>
  <c r="J113" i="9"/>
  <c r="K113" i="9"/>
  <c r="L113" i="9"/>
  <c r="M113" i="9"/>
  <c r="N113" i="9"/>
  <c r="O113" i="9"/>
  <c r="P113" i="9"/>
  <c r="Q113" i="9"/>
  <c r="R113" i="9"/>
  <c r="S113" i="9"/>
  <c r="T113" i="9"/>
  <c r="U113" i="9"/>
  <c r="W113" i="9"/>
  <c r="X113" i="9"/>
  <c r="Y113" i="9"/>
  <c r="Z113" i="9"/>
  <c r="AA113" i="9"/>
  <c r="AB113" i="9"/>
  <c r="AC113" i="9"/>
  <c r="AD113" i="9"/>
  <c r="AE113" i="9"/>
  <c r="AF113" i="9"/>
  <c r="AG113" i="9"/>
  <c r="AH113" i="9"/>
  <c r="AI113" i="9"/>
  <c r="AJ113" i="9"/>
  <c r="AK113" i="9"/>
  <c r="AL113" i="9"/>
  <c r="AM113" i="9"/>
  <c r="AN113" i="9"/>
  <c r="AO113" i="9"/>
  <c r="AP113" i="9"/>
  <c r="AQ113" i="9"/>
  <c r="AR113" i="9"/>
  <c r="AS113" i="9"/>
  <c r="AT113" i="9"/>
  <c r="AU113" i="9"/>
  <c r="AV113" i="9"/>
  <c r="AW113" i="9"/>
  <c r="AX113" i="9"/>
  <c r="AY113" i="9"/>
  <c r="AZ113" i="9"/>
  <c r="BA113" i="9"/>
  <c r="BB113" i="9"/>
  <c r="BC113" i="9"/>
  <c r="BD113" i="9"/>
  <c r="BE113" i="9"/>
  <c r="BF113" i="9"/>
  <c r="BG113" i="9"/>
  <c r="BH113" i="9"/>
  <c r="BI113" i="9"/>
  <c r="BJ113" i="9"/>
  <c r="BK113" i="9"/>
  <c r="BL113" i="9"/>
  <c r="BL81" i="9"/>
  <c r="BK81" i="9"/>
  <c r="BJ81" i="9"/>
  <c r="BI81" i="9"/>
  <c r="BH81" i="9"/>
  <c r="BG81" i="9"/>
  <c r="BF81" i="9"/>
  <c r="BE81" i="9"/>
  <c r="BD81" i="9"/>
  <c r="BC81" i="9"/>
  <c r="BB81" i="9"/>
  <c r="BA81" i="9"/>
  <c r="AZ81" i="9"/>
  <c r="AY81" i="9"/>
  <c r="AX81" i="9"/>
  <c r="AW81" i="9"/>
  <c r="AV81" i="9"/>
  <c r="AU81" i="9"/>
  <c r="AT81" i="9"/>
  <c r="AS81" i="9"/>
  <c r="AR81" i="9"/>
  <c r="AQ81" i="9"/>
  <c r="AP81" i="9"/>
  <c r="AO81" i="9"/>
  <c r="AN81" i="9"/>
  <c r="AM81" i="9"/>
  <c r="AL81" i="9"/>
  <c r="AK81" i="9"/>
  <c r="AJ81" i="9"/>
  <c r="AI81" i="9"/>
  <c r="AH81" i="9"/>
  <c r="AG81" i="9"/>
  <c r="AF81" i="9"/>
  <c r="AE81" i="9"/>
  <c r="AD81" i="9"/>
  <c r="AC81" i="9"/>
  <c r="AB81" i="9"/>
  <c r="AA81" i="9"/>
  <c r="Z81" i="9"/>
  <c r="Y81" i="9"/>
  <c r="X81" i="9"/>
  <c r="W81" i="9"/>
  <c r="U81" i="9"/>
  <c r="T81" i="9"/>
  <c r="S81" i="9"/>
  <c r="R81" i="9"/>
  <c r="Q81" i="9"/>
  <c r="P81" i="9"/>
  <c r="O81" i="9"/>
  <c r="N81" i="9"/>
  <c r="M81" i="9"/>
  <c r="L81" i="9"/>
  <c r="K81" i="9"/>
  <c r="J81" i="9"/>
  <c r="I81" i="9"/>
  <c r="H81" i="9"/>
  <c r="G81" i="9"/>
  <c r="F81" i="9"/>
  <c r="E81" i="9"/>
  <c r="D81" i="9"/>
  <c r="C82" i="9"/>
  <c r="M62" i="9"/>
  <c r="M59" i="9"/>
  <c r="M56" i="9"/>
  <c r="B56" i="9"/>
  <c r="M53" i="9"/>
  <c r="M50" i="9"/>
  <c r="B50" i="9"/>
  <c r="M47" i="9"/>
  <c r="M44" i="9"/>
  <c r="E44" i="9"/>
  <c r="E50" i="9"/>
  <c r="B44" i="9"/>
  <c r="A44" i="9"/>
  <c r="Q44" i="9"/>
  <c r="A43" i="9"/>
  <c r="Q43" i="9"/>
  <c r="A42" i="9"/>
  <c r="Q42" i="9"/>
  <c r="M41" i="9"/>
  <c r="A41" i="9"/>
  <c r="Q41" i="9"/>
  <c r="A40" i="9"/>
  <c r="Q40" i="9"/>
  <c r="A39" i="9"/>
  <c r="Q39" i="9"/>
  <c r="M38" i="9"/>
  <c r="B38" i="9"/>
  <c r="A38" i="9"/>
  <c r="Q38" i="9"/>
  <c r="R38" i="9"/>
  <c r="R39" i="9"/>
  <c r="R40" i="9"/>
  <c r="R41" i="9"/>
  <c r="R42" i="9"/>
  <c r="R43" i="9"/>
  <c r="R44" i="9"/>
  <c r="Q37" i="9"/>
  <c r="B37" i="9"/>
  <c r="Q36" i="9"/>
  <c r="R36" i="9"/>
  <c r="R37" i="9"/>
  <c r="B36" i="9"/>
  <c r="Q35" i="9"/>
  <c r="M35" i="9"/>
  <c r="Q34" i="9"/>
  <c r="Q33" i="9"/>
  <c r="R33" i="9"/>
  <c r="R34" i="9"/>
  <c r="R35" i="9"/>
  <c r="Q32" i="9"/>
  <c r="M32" i="9"/>
  <c r="Q31" i="9"/>
  <c r="Q30" i="9"/>
  <c r="Q29" i="9"/>
  <c r="M29" i="9"/>
  <c r="Q28" i="9"/>
  <c r="R28" i="9"/>
  <c r="R29" i="9"/>
  <c r="R30" i="9"/>
  <c r="R31" i="9"/>
  <c r="R32" i="9"/>
  <c r="B28" i="9"/>
  <c r="Q27" i="9"/>
  <c r="B27" i="9"/>
  <c r="Q26" i="9"/>
  <c r="M26" i="9"/>
  <c r="B26" i="9"/>
  <c r="Q25" i="9"/>
  <c r="K25" i="9"/>
  <c r="K28" i="9"/>
  <c r="B25" i="9"/>
  <c r="Q24" i="9"/>
  <c r="K24" i="9"/>
  <c r="K27" i="9"/>
  <c r="B24" i="9"/>
  <c r="Q23" i="9"/>
  <c r="M23" i="9"/>
  <c r="B23" i="9"/>
  <c r="Q22" i="9"/>
  <c r="B22" i="9"/>
  <c r="Q21" i="9"/>
  <c r="B21" i="9"/>
  <c r="Q20" i="9"/>
  <c r="R20" i="9"/>
  <c r="R21" i="9"/>
  <c r="R22" i="9"/>
  <c r="R23" i="9"/>
  <c r="R24" i="9"/>
  <c r="R25" i="9"/>
  <c r="R26" i="9"/>
  <c r="R27" i="9"/>
  <c r="B20" i="9"/>
  <c r="Q19" i="9"/>
  <c r="K19" i="9"/>
  <c r="B19" i="9"/>
  <c r="B29" i="9"/>
  <c r="Q18" i="9"/>
  <c r="K18" i="9"/>
  <c r="Q17" i="9"/>
  <c r="K17" i="9"/>
  <c r="Q16" i="9"/>
  <c r="K16" i="9"/>
  <c r="Q15" i="9"/>
  <c r="K15" i="9"/>
  <c r="Q14" i="9"/>
  <c r="K14" i="9"/>
  <c r="Q13" i="9"/>
  <c r="K13" i="9"/>
  <c r="Q12" i="9"/>
  <c r="K12" i="9"/>
  <c r="Q6" i="9"/>
  <c r="T5" i="9"/>
  <c r="U5" i="9"/>
  <c r="T4" i="9"/>
  <c r="U4" i="9"/>
  <c r="Q4" i="9"/>
  <c r="T3" i="9"/>
  <c r="U3" i="9"/>
  <c r="Q3" i="9"/>
  <c r="W2" i="9"/>
  <c r="W3" i="9"/>
  <c r="T2" i="9"/>
  <c r="U2" i="9"/>
  <c r="R3" i="9"/>
  <c r="R4" i="9"/>
  <c r="H10" i="6"/>
  <c r="H11" i="6"/>
  <c r="H12" i="6"/>
  <c r="H13" i="6"/>
  <c r="H14" i="6"/>
  <c r="H15" i="6"/>
  <c r="H16" i="6"/>
  <c r="H17" i="6"/>
  <c r="H18" i="6"/>
  <c r="H19" i="6"/>
  <c r="H20" i="6"/>
  <c r="H21" i="6"/>
  <c r="H22" i="6"/>
  <c r="H23" i="6"/>
  <c r="H24" i="6"/>
  <c r="H25" i="6"/>
  <c r="H26" i="6"/>
  <c r="H27" i="6"/>
  <c r="H28" i="6"/>
  <c r="H29" i="6"/>
  <c r="H30" i="6"/>
  <c r="H31" i="6"/>
  <c r="H32" i="6"/>
  <c r="H33" i="6"/>
  <c r="G10" i="6"/>
  <c r="G11" i="6"/>
  <c r="G12" i="6"/>
  <c r="G13" i="6"/>
  <c r="G14" i="6"/>
  <c r="G15" i="6"/>
  <c r="G16" i="6"/>
  <c r="G17" i="6"/>
  <c r="G18" i="6"/>
  <c r="G19" i="6"/>
  <c r="G20" i="6"/>
  <c r="G21" i="6"/>
  <c r="G22" i="6"/>
  <c r="G23" i="6"/>
  <c r="G24" i="6"/>
  <c r="G25" i="6"/>
  <c r="G26" i="6"/>
  <c r="G27" i="6"/>
  <c r="G28" i="6"/>
  <c r="G29" i="6"/>
  <c r="G30" i="6"/>
  <c r="G31" i="6"/>
  <c r="G32" i="6"/>
  <c r="G33" i="6"/>
  <c r="F33" i="6"/>
  <c r="E33" i="6"/>
  <c r="C33" i="6"/>
  <c r="B33" i="6"/>
  <c r="A33" i="6"/>
  <c r="I10" i="6"/>
  <c r="I11" i="6"/>
  <c r="I12" i="6"/>
  <c r="I13" i="6"/>
  <c r="I14" i="6"/>
  <c r="I15" i="6"/>
  <c r="I16" i="6"/>
  <c r="I17" i="6"/>
  <c r="I18" i="6"/>
  <c r="I19" i="6"/>
  <c r="I20" i="6"/>
  <c r="I21" i="6"/>
  <c r="I22" i="6"/>
  <c r="I23" i="6"/>
  <c r="I24" i="6"/>
  <c r="I25" i="6"/>
  <c r="I26" i="6"/>
  <c r="I27" i="6"/>
  <c r="I28" i="6"/>
  <c r="I29" i="6"/>
  <c r="I30" i="6"/>
  <c r="I31" i="6"/>
  <c r="I32" i="6"/>
  <c r="I33" i="6"/>
  <c r="L3" i="6"/>
  <c r="L4" i="6"/>
  <c r="L5" i="6"/>
  <c r="L6" i="6"/>
  <c r="L7" i="6"/>
  <c r="L8" i="6"/>
  <c r="L9" i="6"/>
  <c r="L10" i="6"/>
  <c r="L11" i="6"/>
  <c r="L12" i="6"/>
  <c r="L13" i="6"/>
  <c r="L14" i="6"/>
  <c r="L15" i="6"/>
  <c r="L16" i="6"/>
  <c r="L17" i="6"/>
  <c r="L18" i="6"/>
  <c r="L19" i="6"/>
  <c r="L20" i="6"/>
  <c r="L21" i="6"/>
  <c r="L22" i="6"/>
  <c r="L23" i="6"/>
  <c r="L24" i="6"/>
  <c r="L25" i="6"/>
  <c r="L26" i="6"/>
  <c r="L27" i="6"/>
  <c r="L28" i="6"/>
  <c r="L29" i="6"/>
  <c r="L30" i="6"/>
  <c r="L31" i="6"/>
  <c r="L32" i="6"/>
  <c r="L33" i="6"/>
  <c r="J3" i="6"/>
  <c r="P3" i="6"/>
  <c r="J2" i="6"/>
  <c r="P2" i="6"/>
  <c r="B56" i="3"/>
  <c r="B37" i="3"/>
  <c r="B36" i="3"/>
  <c r="B35" i="3"/>
  <c r="B34" i="3"/>
  <c r="E24" i="3"/>
  <c r="E23" i="3"/>
  <c r="E11" i="3"/>
  <c r="E10" i="3"/>
  <c r="E9" i="3"/>
  <c r="E8" i="3"/>
  <c r="E7" i="3"/>
  <c r="E6" i="3"/>
  <c r="E4" i="3"/>
  <c r="B30" i="9"/>
  <c r="G37" i="6"/>
  <c r="U4" i="6" a="1"/>
  <c r="U3" i="6" a="1"/>
  <c r="U2" i="6" a="1"/>
  <c r="B57" i="9"/>
  <c r="B51" i="9"/>
  <c r="B45" i="9"/>
  <c r="B39" i="9"/>
  <c r="B34" i="9"/>
  <c r="N1" i="9"/>
  <c r="M22" i="9"/>
  <c r="W4" i="9"/>
  <c r="N12" i="9"/>
  <c r="L12" i="9"/>
  <c r="N13" i="9"/>
  <c r="L13" i="9"/>
  <c r="N14" i="9"/>
  <c r="L14" i="9"/>
  <c r="N15" i="9"/>
  <c r="L15" i="9"/>
  <c r="N16" i="9"/>
  <c r="L16" i="9"/>
  <c r="N17" i="9"/>
  <c r="L17" i="9"/>
  <c r="N18" i="9"/>
  <c r="L18" i="9"/>
  <c r="N19" i="9"/>
  <c r="L19" i="9"/>
  <c r="K30" i="9"/>
  <c r="K31" i="9"/>
  <c r="E56" i="9"/>
  <c r="E51" i="9"/>
  <c r="A50" i="9"/>
  <c r="Q50" i="9"/>
  <c r="B58" i="9"/>
  <c r="B59" i="9"/>
  <c r="B52" i="9"/>
  <c r="B53" i="9"/>
  <c r="B31" i="9"/>
  <c r="B32" i="9"/>
  <c r="B33" i="9"/>
  <c r="B40" i="9"/>
  <c r="B41" i="9"/>
  <c r="E45" i="9"/>
  <c r="B46" i="9"/>
  <c r="B47" i="9"/>
  <c r="B54" i="9"/>
  <c r="B60" i="9"/>
  <c r="J4" i="6"/>
  <c r="P4" i="6"/>
  <c r="Q2" i="6"/>
  <c r="AA2" i="6"/>
  <c r="Z2" i="6"/>
  <c r="Y2" i="6"/>
  <c r="X2" i="6"/>
  <c r="W2" i="6"/>
  <c r="V2" i="6"/>
  <c r="U2" i="6"/>
  <c r="Q3" i="6"/>
  <c r="AA3" i="6"/>
  <c r="Z3" i="6"/>
  <c r="Y3" i="6"/>
  <c r="X3" i="6"/>
  <c r="W3" i="6"/>
  <c r="V3" i="6"/>
  <c r="U3" i="6"/>
  <c r="Q4" i="6"/>
  <c r="AA4" i="6"/>
  <c r="Z4" i="6"/>
  <c r="Y4" i="6"/>
  <c r="X4" i="6"/>
  <c r="W4" i="6"/>
  <c r="V4" i="6"/>
  <c r="U4" i="6"/>
  <c r="R2" i="6"/>
  <c r="S2" i="6"/>
  <c r="R3" i="6"/>
  <c r="S3" i="6"/>
  <c r="R4" i="6"/>
  <c r="S4" i="6"/>
  <c r="N2" i="6"/>
  <c r="N3" i="6"/>
  <c r="N4" i="6"/>
  <c r="C37" i="3"/>
  <c r="F37" i="3"/>
  <c r="C36" i="3"/>
  <c r="F36" i="3"/>
  <c r="C35" i="3"/>
  <c r="F35" i="3"/>
  <c r="B25" i="3"/>
  <c r="B28" i="3"/>
  <c r="C34" i="3"/>
  <c r="F34" i="3"/>
  <c r="D35" i="3"/>
  <c r="D36" i="3"/>
  <c r="D37" i="3"/>
  <c r="U5" i="6" a="1"/>
  <c r="E46" i="9"/>
  <c r="A45" i="9"/>
  <c r="Q45" i="9"/>
  <c r="R45" i="9"/>
  <c r="Q5" i="9"/>
  <c r="R5" i="9"/>
  <c r="R6" i="9"/>
  <c r="J19" i="9"/>
  <c r="J18" i="9"/>
  <c r="J17" i="9"/>
  <c r="J16" i="9"/>
  <c r="E52" i="9"/>
  <c r="A51" i="9"/>
  <c r="Q51" i="9"/>
  <c r="E57" i="9"/>
  <c r="A56" i="9"/>
  <c r="Q56" i="9"/>
  <c r="B48" i="9"/>
  <c r="B42" i="9"/>
  <c r="K34" i="9"/>
  <c r="Q7" i="9"/>
  <c r="K33" i="9"/>
  <c r="M19" i="9"/>
  <c r="M18" i="9"/>
  <c r="M17" i="9"/>
  <c r="M16" i="9"/>
  <c r="J15" i="9"/>
  <c r="M15" i="9"/>
  <c r="J14" i="9"/>
  <c r="J13" i="9"/>
  <c r="J12" i="9"/>
  <c r="K6" i="9"/>
  <c r="M14" i="9"/>
  <c r="M13" i="9"/>
  <c r="M12" i="9"/>
  <c r="W5" i="9"/>
  <c r="X4" i="9"/>
  <c r="M21" i="9"/>
  <c r="B35" i="9"/>
  <c r="B43" i="9"/>
  <c r="B49" i="9"/>
  <c r="B55" i="9"/>
  <c r="B61" i="9"/>
  <c r="Q5" i="6"/>
  <c r="AA5" i="6"/>
  <c r="Z5" i="6"/>
  <c r="Y5" i="6"/>
  <c r="X5" i="6"/>
  <c r="W5" i="6"/>
  <c r="V5" i="6"/>
  <c r="U5" i="6"/>
  <c r="J5" i="6"/>
  <c r="T4" i="6"/>
  <c r="O4" i="6"/>
  <c r="T3" i="6"/>
  <c r="O3" i="6"/>
  <c r="T2" i="6"/>
  <c r="O2" i="6"/>
  <c r="B26" i="3"/>
  <c r="D34" i="3"/>
  <c r="E37" i="3"/>
  <c r="G37" i="3"/>
  <c r="E36" i="3"/>
  <c r="G36" i="3"/>
  <c r="E35" i="3"/>
  <c r="G35" i="3"/>
  <c r="E34" i="3"/>
  <c r="G34" i="3"/>
  <c r="C29" i="3"/>
  <c r="U6" i="6" a="1"/>
  <c r="W6" i="9"/>
  <c r="J2" i="9"/>
  <c r="N2" i="9"/>
  <c r="M25" i="9"/>
  <c r="M2" i="9"/>
  <c r="M24" i="9"/>
  <c r="L2" i="9"/>
  <c r="X2" i="9"/>
  <c r="J3" i="9"/>
  <c r="N3" i="9"/>
  <c r="M28" i="9"/>
  <c r="M3" i="9"/>
  <c r="M27" i="9"/>
  <c r="L3" i="9"/>
  <c r="X3" i="9"/>
  <c r="J4" i="9"/>
  <c r="M31" i="9"/>
  <c r="M4" i="9"/>
  <c r="M30" i="9"/>
  <c r="J6" i="9"/>
  <c r="N6" i="9"/>
  <c r="M6" i="9"/>
  <c r="L6" i="9"/>
  <c r="K36" i="9"/>
  <c r="Q8" i="9"/>
  <c r="Q9" i="9"/>
  <c r="K7" i="9"/>
  <c r="K37" i="9"/>
  <c r="E58" i="9"/>
  <c r="A57" i="9"/>
  <c r="Q57" i="9"/>
  <c r="E53" i="9"/>
  <c r="A52" i="9"/>
  <c r="Q52" i="9"/>
  <c r="K5" i="9"/>
  <c r="R7" i="9"/>
  <c r="R8" i="9"/>
  <c r="R9" i="9"/>
  <c r="E47" i="9"/>
  <c r="A46" i="9"/>
  <c r="Q46" i="9"/>
  <c r="R46" i="9"/>
  <c r="Q6" i="6"/>
  <c r="AA6" i="6"/>
  <c r="Z6" i="6"/>
  <c r="Y6" i="6"/>
  <c r="X6" i="6"/>
  <c r="W6" i="6"/>
  <c r="V6" i="6"/>
  <c r="U6" i="6"/>
  <c r="P5" i="6"/>
  <c r="R5" i="6"/>
  <c r="S5" i="6"/>
  <c r="N5" i="6"/>
  <c r="J6" i="6"/>
  <c r="C23" i="3"/>
  <c r="B30" i="3"/>
  <c r="U7" i="6" a="1"/>
  <c r="E48" i="9"/>
  <c r="A47" i="9"/>
  <c r="Q47" i="9"/>
  <c r="R47" i="9"/>
  <c r="J5" i="9"/>
  <c r="N5" i="9"/>
  <c r="M34" i="9"/>
  <c r="M5" i="9"/>
  <c r="M33" i="9"/>
  <c r="L5" i="9"/>
  <c r="E54" i="9"/>
  <c r="A53" i="9"/>
  <c r="Q53" i="9"/>
  <c r="E59" i="9"/>
  <c r="A58" i="9"/>
  <c r="Q58" i="9"/>
  <c r="K40" i="9"/>
  <c r="M37" i="9"/>
  <c r="J7" i="9"/>
  <c r="N7" i="9"/>
  <c r="M7" i="9"/>
  <c r="L7" i="9"/>
  <c r="Q10" i="9"/>
  <c r="R10" i="9"/>
  <c r="Q11" i="9"/>
  <c r="K9" i="9"/>
  <c r="K8" i="9"/>
  <c r="K39" i="9"/>
  <c r="M36" i="9"/>
  <c r="X5" i="9"/>
  <c r="W7" i="9"/>
  <c r="X6" i="9"/>
  <c r="Q7" i="6"/>
  <c r="AA7" i="6"/>
  <c r="Z7" i="6"/>
  <c r="Y7" i="6"/>
  <c r="X7" i="6"/>
  <c r="W7" i="6"/>
  <c r="V7" i="6"/>
  <c r="U7" i="6"/>
  <c r="P6" i="6"/>
  <c r="R6" i="6"/>
  <c r="S6" i="6"/>
  <c r="N6" i="6"/>
  <c r="J7" i="6"/>
  <c r="T5" i="6"/>
  <c r="O5" i="6"/>
  <c r="C25" i="3"/>
  <c r="U8" i="6" a="1"/>
  <c r="R11" i="9"/>
  <c r="R12" i="9"/>
  <c r="R13" i="9"/>
  <c r="R14" i="9"/>
  <c r="R15" i="9"/>
  <c r="R16" i="9"/>
  <c r="R17" i="9"/>
  <c r="R18" i="9"/>
  <c r="R19" i="9"/>
  <c r="T1" i="9"/>
  <c r="U1" i="9"/>
  <c r="W8" i="9"/>
  <c r="X7" i="9"/>
  <c r="K42" i="9"/>
  <c r="M39" i="9"/>
  <c r="J8" i="9"/>
  <c r="N8" i="9"/>
  <c r="M8" i="9"/>
  <c r="L8" i="9"/>
  <c r="J9" i="9"/>
  <c r="N9" i="9"/>
  <c r="M9" i="9"/>
  <c r="L9" i="9"/>
  <c r="K11" i="9"/>
  <c r="K10" i="9"/>
  <c r="K43" i="9"/>
  <c r="M40" i="9"/>
  <c r="E60" i="9"/>
  <c r="A59" i="9"/>
  <c r="Q59" i="9"/>
  <c r="E55" i="9"/>
  <c r="A55" i="9"/>
  <c r="Q55" i="9"/>
  <c r="A54" i="9"/>
  <c r="Q54" i="9"/>
  <c r="E49" i="9"/>
  <c r="A49" i="9"/>
  <c r="Q49" i="9"/>
  <c r="A48" i="9"/>
  <c r="Q48" i="9"/>
  <c r="R48" i="9"/>
  <c r="R49" i="9"/>
  <c r="R50" i="9"/>
  <c r="R51" i="9"/>
  <c r="R52" i="9"/>
  <c r="R53" i="9"/>
  <c r="R54" i="9"/>
  <c r="R55" i="9"/>
  <c r="R56" i="9"/>
  <c r="R57" i="9"/>
  <c r="R58" i="9"/>
  <c r="R59" i="9"/>
  <c r="Q8" i="6"/>
  <c r="AA8" i="6"/>
  <c r="Z8" i="6"/>
  <c r="Y8" i="6"/>
  <c r="X8" i="6"/>
  <c r="W8" i="6"/>
  <c r="V8" i="6"/>
  <c r="U8" i="6"/>
  <c r="P7" i="6"/>
  <c r="R7" i="6"/>
  <c r="S7" i="6"/>
  <c r="N7" i="6"/>
  <c r="J8" i="6"/>
  <c r="T6" i="6"/>
  <c r="O6" i="6"/>
  <c r="U9" i="6" a="1"/>
  <c r="E61" i="9"/>
  <c r="A61" i="9"/>
  <c r="Q61" i="9"/>
  <c r="A60" i="9"/>
  <c r="Q60" i="9"/>
  <c r="R60" i="9"/>
  <c r="R61" i="9"/>
  <c r="T6" i="9"/>
  <c r="U6" i="9"/>
  <c r="K46" i="9"/>
  <c r="M43" i="9"/>
  <c r="J10" i="9"/>
  <c r="N10" i="9"/>
  <c r="M10" i="9"/>
  <c r="L10" i="9"/>
  <c r="J11" i="9"/>
  <c r="N11" i="9"/>
  <c r="M11" i="9"/>
  <c r="L11" i="9"/>
  <c r="K45" i="9"/>
  <c r="M42" i="9"/>
  <c r="W9" i="9"/>
  <c r="X8" i="9"/>
  <c r="Q9" i="6"/>
  <c r="AA9" i="6"/>
  <c r="Z9" i="6"/>
  <c r="Y9" i="6"/>
  <c r="X9" i="6"/>
  <c r="W9" i="6"/>
  <c r="V9" i="6"/>
  <c r="U9" i="6"/>
  <c r="P8" i="6"/>
  <c r="R8" i="6"/>
  <c r="S8" i="6"/>
  <c r="N8" i="6"/>
  <c r="J9" i="6"/>
  <c r="T7" i="6"/>
  <c r="O7" i="6"/>
  <c r="U10" i="6" a="1"/>
  <c r="W10" i="9"/>
  <c r="X9" i="9"/>
  <c r="K48" i="9"/>
  <c r="M45" i="9"/>
  <c r="K49" i="9"/>
  <c r="M46" i="9"/>
  <c r="Q10" i="6"/>
  <c r="AA10" i="6"/>
  <c r="Z10" i="6"/>
  <c r="Y10" i="6"/>
  <c r="X10" i="6"/>
  <c r="W10" i="6"/>
  <c r="V10" i="6"/>
  <c r="U10" i="6"/>
  <c r="P9" i="6"/>
  <c r="R9" i="6"/>
  <c r="S9" i="6"/>
  <c r="N9" i="6"/>
  <c r="J10" i="6"/>
  <c r="T8" i="6"/>
  <c r="O8" i="6"/>
  <c r="U11" i="6" a="1"/>
  <c r="K52" i="9"/>
  <c r="M49" i="9"/>
  <c r="K51" i="9"/>
  <c r="M48" i="9"/>
  <c r="W11" i="9"/>
  <c r="X10" i="9"/>
  <c r="Q11" i="6"/>
  <c r="AA11" i="6"/>
  <c r="Z11" i="6"/>
  <c r="Y11" i="6"/>
  <c r="X11" i="6"/>
  <c r="W11" i="6"/>
  <c r="V11" i="6"/>
  <c r="U11" i="6"/>
  <c r="P10" i="6"/>
  <c r="R10" i="6"/>
  <c r="S10" i="6"/>
  <c r="N10" i="6"/>
  <c r="J11" i="6"/>
  <c r="T9" i="6"/>
  <c r="O9" i="6"/>
  <c r="U12" i="6" a="1"/>
  <c r="W12" i="9"/>
  <c r="X11" i="9"/>
  <c r="K54" i="9"/>
  <c r="M51" i="9"/>
  <c r="K55" i="9"/>
  <c r="M52" i="9"/>
  <c r="Q12" i="6"/>
  <c r="AA12" i="6"/>
  <c r="Z12" i="6"/>
  <c r="Y12" i="6"/>
  <c r="X12" i="6"/>
  <c r="W12" i="6"/>
  <c r="V12" i="6"/>
  <c r="U12" i="6"/>
  <c r="P11" i="6"/>
  <c r="R11" i="6"/>
  <c r="S11" i="6"/>
  <c r="N11" i="6"/>
  <c r="J12" i="6"/>
  <c r="T10" i="6"/>
  <c r="O10" i="6"/>
  <c r="U13" i="6" a="1"/>
  <c r="K58" i="9"/>
  <c r="M55" i="9"/>
  <c r="K57" i="9"/>
  <c r="M54" i="9"/>
  <c r="W13" i="9"/>
  <c r="X12" i="9"/>
  <c r="Q13" i="6"/>
  <c r="AA13" i="6"/>
  <c r="Z13" i="6"/>
  <c r="Y13" i="6"/>
  <c r="X13" i="6"/>
  <c r="W13" i="6"/>
  <c r="V13" i="6"/>
  <c r="U13" i="6"/>
  <c r="P12" i="6"/>
  <c r="R12" i="6"/>
  <c r="S12" i="6"/>
  <c r="N12" i="6"/>
  <c r="J13" i="6"/>
  <c r="T11" i="6"/>
  <c r="O11" i="6"/>
  <c r="U14" i="6" a="1"/>
  <c r="W14" i="9"/>
  <c r="X13" i="9"/>
  <c r="K60" i="9"/>
  <c r="M57" i="9"/>
  <c r="K61" i="9"/>
  <c r="M58" i="9"/>
  <c r="Q14" i="6"/>
  <c r="AA14" i="6"/>
  <c r="Z14" i="6"/>
  <c r="Y14" i="6"/>
  <c r="X14" i="6"/>
  <c r="W14" i="6"/>
  <c r="V14" i="6"/>
  <c r="U14" i="6"/>
  <c r="P13" i="6"/>
  <c r="R13" i="6"/>
  <c r="S13" i="6"/>
  <c r="N13" i="6"/>
  <c r="T12" i="6"/>
  <c r="O12" i="6"/>
  <c r="U15" i="6" a="1"/>
  <c r="K64" i="9"/>
  <c r="K67" i="9"/>
  <c r="M61" i="9"/>
  <c r="K63" i="9"/>
  <c r="K66" i="9"/>
  <c r="M60" i="9"/>
  <c r="W15" i="9"/>
  <c r="X14" i="9"/>
  <c r="Q15" i="6"/>
  <c r="AA15" i="6"/>
  <c r="Z15" i="6"/>
  <c r="Y15" i="6"/>
  <c r="X15" i="6"/>
  <c r="W15" i="6"/>
  <c r="V15" i="6"/>
  <c r="U15" i="6"/>
  <c r="R14" i="6"/>
  <c r="S14" i="6"/>
  <c r="N14" i="6"/>
  <c r="J15" i="6"/>
  <c r="T13" i="6"/>
  <c r="O13" i="6"/>
  <c r="U16" i="6" a="1"/>
  <c r="M66" i="9"/>
  <c r="K69" i="9"/>
  <c r="M67" i="9"/>
  <c r="K70" i="9"/>
  <c r="W16" i="9"/>
  <c r="X15" i="9"/>
  <c r="M63" i="9"/>
  <c r="M64" i="9"/>
  <c r="Q16" i="6"/>
  <c r="AA16" i="6"/>
  <c r="Z16" i="6"/>
  <c r="Y16" i="6"/>
  <c r="X16" i="6"/>
  <c r="W16" i="6"/>
  <c r="V16" i="6"/>
  <c r="U16" i="6"/>
  <c r="P15" i="6"/>
  <c r="R15" i="6"/>
  <c r="S15" i="6"/>
  <c r="N15" i="6"/>
  <c r="J16" i="6"/>
  <c r="T14" i="6"/>
  <c r="O14" i="6"/>
  <c r="U17" i="6" a="1"/>
  <c r="M70" i="9"/>
  <c r="K73" i="9"/>
  <c r="M69" i="9"/>
  <c r="K72" i="9"/>
  <c r="W17" i="9"/>
  <c r="X16" i="9"/>
  <c r="Q17" i="6"/>
  <c r="AA17" i="6"/>
  <c r="Z17" i="6"/>
  <c r="Y17" i="6"/>
  <c r="X17" i="6"/>
  <c r="W17" i="6"/>
  <c r="V17" i="6"/>
  <c r="U17" i="6"/>
  <c r="P16" i="6"/>
  <c r="R16" i="6"/>
  <c r="S16" i="6"/>
  <c r="N16" i="6"/>
  <c r="J17" i="6"/>
  <c r="T15" i="6"/>
  <c r="O15" i="6"/>
  <c r="U18" i="6" a="1"/>
  <c r="M72" i="9"/>
  <c r="K75" i="9"/>
  <c r="M75" i="9"/>
  <c r="M73" i="9"/>
  <c r="K76" i="9"/>
  <c r="M76" i="9"/>
  <c r="W18" i="9"/>
  <c r="X17" i="9"/>
  <c r="Q18" i="6"/>
  <c r="AA18" i="6"/>
  <c r="Z18" i="6"/>
  <c r="Y18" i="6"/>
  <c r="X18" i="6"/>
  <c r="W18" i="6"/>
  <c r="V18" i="6"/>
  <c r="U18" i="6"/>
  <c r="P17" i="6"/>
  <c r="R17" i="6"/>
  <c r="S17" i="6"/>
  <c r="N17" i="6"/>
  <c r="J18" i="6"/>
  <c r="T16" i="6"/>
  <c r="O16" i="6"/>
  <c r="U19" i="6" a="1"/>
  <c r="W19" i="9"/>
  <c r="X19" i="9"/>
  <c r="X18" i="9"/>
  <c r="Q19" i="6"/>
  <c r="AA19" i="6"/>
  <c r="Z19" i="6"/>
  <c r="Y19" i="6"/>
  <c r="X19" i="6"/>
  <c r="W19" i="6"/>
  <c r="V19" i="6"/>
  <c r="U19" i="6"/>
  <c r="P18" i="6"/>
  <c r="R18" i="6"/>
  <c r="S18" i="6"/>
  <c r="N18" i="6"/>
  <c r="J19" i="6"/>
  <c r="T17" i="6"/>
  <c r="O17" i="6"/>
  <c r="U20" i="6" a="1"/>
  <c r="Q20" i="6"/>
  <c r="AA20" i="6"/>
  <c r="Z20" i="6"/>
  <c r="Y20" i="6"/>
  <c r="X20" i="6"/>
  <c r="W20" i="6"/>
  <c r="V20" i="6"/>
  <c r="U20" i="6"/>
  <c r="P19" i="6"/>
  <c r="R19" i="6"/>
  <c r="S19" i="6"/>
  <c r="N19" i="6"/>
  <c r="J20" i="6"/>
  <c r="T18" i="6"/>
  <c r="O18" i="6"/>
  <c r="U21" i="6" a="1"/>
  <c r="Q21" i="6"/>
  <c r="AA21" i="6"/>
  <c r="Z21" i="6"/>
  <c r="Y21" i="6"/>
  <c r="X21" i="6"/>
  <c r="W21" i="6"/>
  <c r="V21" i="6"/>
  <c r="U21" i="6"/>
  <c r="P20" i="6"/>
  <c r="R20" i="6"/>
  <c r="S20" i="6"/>
  <c r="N20" i="6"/>
  <c r="J21" i="6"/>
  <c r="T19" i="6"/>
  <c r="O19" i="6"/>
  <c r="U22" i="6" a="1"/>
  <c r="Q22" i="6"/>
  <c r="AA22" i="6"/>
  <c r="Z22" i="6"/>
  <c r="Y22" i="6"/>
  <c r="X22" i="6"/>
  <c r="W22" i="6"/>
  <c r="V22" i="6"/>
  <c r="U22" i="6"/>
  <c r="P21" i="6"/>
  <c r="R21" i="6"/>
  <c r="S21" i="6"/>
  <c r="N21" i="6"/>
  <c r="J22" i="6"/>
  <c r="T20" i="6"/>
  <c r="O20" i="6"/>
  <c r="U23" i="6" a="1"/>
  <c r="Q23" i="6"/>
  <c r="AA23" i="6"/>
  <c r="Z23" i="6"/>
  <c r="Y23" i="6"/>
  <c r="X23" i="6"/>
  <c r="W23" i="6"/>
  <c r="V23" i="6"/>
  <c r="U23" i="6"/>
  <c r="P22" i="6"/>
  <c r="R22" i="6"/>
  <c r="S22" i="6"/>
  <c r="N22" i="6"/>
  <c r="J23" i="6"/>
  <c r="T21" i="6"/>
  <c r="O21" i="6"/>
  <c r="U24" i="6" a="1"/>
  <c r="Q24" i="6"/>
  <c r="AA24" i="6"/>
  <c r="Z24" i="6"/>
  <c r="Y24" i="6"/>
  <c r="X24" i="6"/>
  <c r="W24" i="6"/>
  <c r="V24" i="6"/>
  <c r="U24" i="6"/>
  <c r="P23" i="6"/>
  <c r="R23" i="6"/>
  <c r="S23" i="6"/>
  <c r="N23" i="6"/>
  <c r="J24" i="6"/>
  <c r="T22" i="6"/>
  <c r="O22" i="6"/>
  <c r="U25" i="6" a="1"/>
  <c r="Q25" i="6"/>
  <c r="AA25" i="6"/>
  <c r="Z25" i="6"/>
  <c r="Y25" i="6"/>
  <c r="X25" i="6"/>
  <c r="W25" i="6"/>
  <c r="V25" i="6"/>
  <c r="U25" i="6"/>
  <c r="P24" i="6"/>
  <c r="R24" i="6"/>
  <c r="S24" i="6"/>
  <c r="N24" i="6"/>
  <c r="J25" i="6"/>
  <c r="T23" i="6"/>
  <c r="O23" i="6"/>
  <c r="U26" i="6" a="1"/>
  <c r="Q26" i="6"/>
  <c r="AA26" i="6"/>
  <c r="Z26" i="6"/>
  <c r="Y26" i="6"/>
  <c r="X26" i="6"/>
  <c r="W26" i="6"/>
  <c r="V26" i="6"/>
  <c r="U26" i="6"/>
  <c r="P25" i="6"/>
  <c r="R25" i="6"/>
  <c r="S25" i="6"/>
  <c r="N25" i="6"/>
  <c r="J26" i="6"/>
  <c r="T24" i="6"/>
  <c r="O24" i="6"/>
  <c r="U27" i="6" a="1"/>
  <c r="Q27" i="6"/>
  <c r="AA27" i="6"/>
  <c r="Z27" i="6"/>
  <c r="Y27" i="6"/>
  <c r="X27" i="6"/>
  <c r="W27" i="6"/>
  <c r="V27" i="6"/>
  <c r="U27" i="6"/>
  <c r="P26" i="6"/>
  <c r="R26" i="6"/>
  <c r="S26" i="6"/>
  <c r="N26" i="6"/>
  <c r="J27" i="6"/>
  <c r="T25" i="6"/>
  <c r="O25" i="6"/>
  <c r="U28" i="6" a="1"/>
  <c r="Q28" i="6"/>
  <c r="AA28" i="6"/>
  <c r="Z28" i="6"/>
  <c r="Y28" i="6"/>
  <c r="X28" i="6"/>
  <c r="W28" i="6"/>
  <c r="V28" i="6"/>
  <c r="U28" i="6"/>
  <c r="P27" i="6"/>
  <c r="R27" i="6"/>
  <c r="S27" i="6"/>
  <c r="N27" i="6"/>
  <c r="J28" i="6"/>
  <c r="T26" i="6"/>
  <c r="O26" i="6"/>
  <c r="U29" i="6" a="1"/>
  <c r="Q29" i="6"/>
  <c r="AA29" i="6"/>
  <c r="Z29" i="6"/>
  <c r="Y29" i="6"/>
  <c r="X29" i="6"/>
  <c r="W29" i="6"/>
  <c r="V29" i="6"/>
  <c r="U29" i="6"/>
  <c r="P28" i="6"/>
  <c r="R28" i="6"/>
  <c r="S28" i="6"/>
  <c r="N28" i="6"/>
  <c r="J29" i="6"/>
  <c r="T27" i="6"/>
  <c r="O27" i="6"/>
  <c r="U30" i="6" a="1"/>
  <c r="Q30" i="6"/>
  <c r="AA30" i="6"/>
  <c r="Z30" i="6"/>
  <c r="Y30" i="6"/>
  <c r="X30" i="6"/>
  <c r="W30" i="6"/>
  <c r="V30" i="6"/>
  <c r="U30" i="6"/>
  <c r="P29" i="6"/>
  <c r="R29" i="6"/>
  <c r="S29" i="6"/>
  <c r="N29" i="6"/>
  <c r="J30" i="6"/>
  <c r="T28" i="6"/>
  <c r="O28" i="6"/>
  <c r="U31" i="6" a="1"/>
  <c r="Q31" i="6"/>
  <c r="AA31" i="6"/>
  <c r="Z31" i="6"/>
  <c r="Y31" i="6"/>
  <c r="X31" i="6"/>
  <c r="W31" i="6"/>
  <c r="V31" i="6"/>
  <c r="U31" i="6"/>
  <c r="P30" i="6"/>
  <c r="R30" i="6"/>
  <c r="S30" i="6"/>
  <c r="N30" i="6"/>
  <c r="J31" i="6"/>
  <c r="T29" i="6"/>
  <c r="O29" i="6"/>
  <c r="U32" i="6" a="1"/>
  <c r="AA32" i="6"/>
  <c r="Z32" i="6"/>
  <c r="Y32" i="6"/>
  <c r="X32" i="6"/>
  <c r="W32" i="6"/>
  <c r="V32" i="6"/>
  <c r="U32" i="6"/>
  <c r="P31" i="6"/>
  <c r="R31" i="6"/>
  <c r="S31" i="6"/>
  <c r="N31" i="6"/>
  <c r="D33" i="6"/>
  <c r="T30" i="6"/>
  <c r="O30" i="6"/>
  <c r="U33" i="6" a="1"/>
  <c r="Q33" i="6"/>
  <c r="AA33" i="6"/>
  <c r="Z33" i="6"/>
  <c r="Y33" i="6"/>
  <c r="X33" i="6"/>
  <c r="W33" i="6"/>
  <c r="V33" i="6"/>
  <c r="U33" i="6"/>
  <c r="N32" i="6"/>
  <c r="J33" i="6"/>
  <c r="T31" i="6"/>
  <c r="O31" i="6"/>
  <c r="P33" i="6"/>
  <c r="N33" i="6"/>
  <c r="T32" i="6"/>
  <c r="O32" i="6"/>
  <c r="R33" i="6"/>
  <c r="S33" i="6"/>
  <c r="F37" i="6"/>
  <c r="F38" i="6"/>
  <c r="F39" i="6"/>
  <c r="T33" i="6"/>
  <c r="O33" i="6"/>
  <c r="G38" i="6"/>
  <c r="G39" i="6"/>
</calcChain>
</file>

<file path=xl/comments1.xml><?xml version="1.0" encoding="utf-8"?>
<comments xmlns="http://schemas.openxmlformats.org/spreadsheetml/2006/main">
  <authors>
    <author>Aswath Damodaran</author>
    <author>Windows User</author>
  </authors>
  <commentList>
    <comment ref="B3" authorId="0" shapeId="0">
      <text>
        <r>
          <rPr>
            <b/>
            <sz val="9"/>
            <color indexed="81"/>
            <rFont val="Calibri"/>
            <family val="2"/>
          </rPr>
          <t>Aswath Damodaran:</t>
        </r>
        <r>
          <rPr>
            <sz val="9"/>
            <color indexed="81"/>
            <rFont val="Calibri"/>
            <family val="2"/>
          </rPr>
          <t xml:space="preserve">
Market capitalizarion of all classes of shares in your company.</t>
        </r>
      </text>
    </comment>
    <comment ref="B5" authorId="0" shapeId="0">
      <text>
        <r>
          <rPr>
            <b/>
            <sz val="9"/>
            <color indexed="81"/>
            <rFont val="Calibri"/>
            <family val="2"/>
          </rPr>
          <t>Aswath Damodaran:</t>
        </r>
        <r>
          <rPr>
            <sz val="9"/>
            <color indexed="81"/>
            <rFont val="Calibri"/>
            <family val="2"/>
          </rPr>
          <t xml:space="preserve">
Book value of equity from the balance sheet, including retailed earnings.</t>
        </r>
      </text>
    </comment>
    <comment ref="B6" authorId="0" shapeId="0">
      <text>
        <r>
          <rPr>
            <b/>
            <sz val="9"/>
            <color indexed="81"/>
            <rFont val="Calibri"/>
            <family val="2"/>
          </rPr>
          <t>Aswath Damodaran:</t>
        </r>
        <r>
          <rPr>
            <sz val="9"/>
            <color indexed="81"/>
            <rFont val="Calibri"/>
            <family val="2"/>
          </rPr>
          <t xml:space="preserve">
Book value of interest bearting debt, short as well as long term. Should not include accounts payable, supplier credit, deferred iems or other non-interest bearing debt.</t>
        </r>
      </text>
    </comment>
    <comment ref="B7" authorId="0" shapeId="0">
      <text>
        <r>
          <rPr>
            <b/>
            <sz val="9"/>
            <color indexed="81"/>
            <rFont val="Calibri"/>
            <family val="2"/>
          </rPr>
          <t>Aswath Damodaran:</t>
        </r>
        <r>
          <rPr>
            <sz val="9"/>
            <color indexed="81"/>
            <rFont val="Calibri"/>
            <family val="2"/>
          </rPr>
          <t xml:space="preserve">
Cash and marketable securites as of last balance sheet. </t>
        </r>
      </text>
    </comment>
    <comment ref="B9" authorId="0" shapeId="0">
      <text>
        <r>
          <rPr>
            <b/>
            <sz val="9"/>
            <color indexed="81"/>
            <rFont val="Calibri"/>
            <family val="2"/>
          </rPr>
          <t>Aswath Damodaran:</t>
        </r>
        <r>
          <rPr>
            <sz val="9"/>
            <color indexed="81"/>
            <rFont val="Calibri"/>
            <family val="2"/>
          </rPr>
          <t xml:space="preserve">
Sales or revenues in most recent year</t>
        </r>
      </text>
    </comment>
    <comment ref="B10" authorId="0" shapeId="0">
      <text>
        <r>
          <rPr>
            <b/>
            <sz val="9"/>
            <color indexed="81"/>
            <rFont val="Calibri"/>
            <family val="2"/>
          </rPr>
          <t>Aswath Damodaran:</t>
        </r>
        <r>
          <rPr>
            <sz val="9"/>
            <color indexed="81"/>
            <rFont val="Calibri"/>
            <family val="2"/>
          </rPr>
          <t xml:space="preserve">
Operating income for the most recent year</t>
        </r>
      </text>
    </comment>
    <comment ref="B11" authorId="0" shapeId="0">
      <text>
        <r>
          <rPr>
            <b/>
            <sz val="9"/>
            <color indexed="81"/>
            <rFont val="Calibri"/>
            <family val="2"/>
          </rPr>
          <t>Aswath Damodaran:</t>
        </r>
        <r>
          <rPr>
            <sz val="9"/>
            <color indexed="81"/>
            <rFont val="Calibri"/>
            <family val="2"/>
          </rPr>
          <t xml:space="preserve">
Effective tax rate from income statement. Divide taxes paid by taxable income.</t>
        </r>
      </text>
    </comment>
    <comment ref="B12" authorId="0" shapeId="0">
      <text>
        <r>
          <rPr>
            <b/>
            <sz val="9"/>
            <color indexed="81"/>
            <rFont val="Calibri"/>
            <family val="2"/>
          </rPr>
          <t>Aswath Damodaran:</t>
        </r>
        <r>
          <rPr>
            <sz val="9"/>
            <color indexed="81"/>
            <rFont val="Calibri"/>
            <family val="2"/>
          </rPr>
          <t xml:space="preserve">
Net income for most recent year, prior to extraordinary items.</t>
        </r>
      </text>
    </comment>
    <comment ref="B14" authorId="0" shapeId="0">
      <text>
        <r>
          <rPr>
            <b/>
            <sz val="9"/>
            <color indexed="81"/>
            <rFont val="Calibri"/>
            <family val="2"/>
          </rPr>
          <t>Aswath Damodaran:</t>
        </r>
        <r>
          <rPr>
            <sz val="9"/>
            <color indexed="81"/>
            <rFont val="Calibri"/>
            <family val="2"/>
          </rPr>
          <t xml:space="preserve">
Expected compounded annual growth rate in operating income during high growth period.</t>
        </r>
      </text>
    </comment>
    <comment ref="B15" authorId="0" shapeId="0">
      <text>
        <r>
          <rPr>
            <b/>
            <sz val="9"/>
            <color indexed="81"/>
            <rFont val="Calibri"/>
            <family val="2"/>
          </rPr>
          <t>Aswath Damodaran:</t>
        </r>
        <r>
          <rPr>
            <sz val="9"/>
            <color indexed="81"/>
            <rFont val="Calibri"/>
            <family val="2"/>
          </rPr>
          <t xml:space="preserve">
While the default is set to the current ROIC, you can change it to reflect industry averages or trends you see at your company.</t>
        </r>
      </text>
    </comment>
    <comment ref="B16" authorId="0" shapeId="0">
      <text>
        <r>
          <rPr>
            <b/>
            <sz val="9"/>
            <color indexed="81"/>
            <rFont val="Calibri"/>
            <family val="2"/>
          </rPr>
          <t>Aswath Damodaran:</t>
        </r>
        <r>
          <rPr>
            <sz val="9"/>
            <color indexed="81"/>
            <rFont val="Calibri"/>
            <family val="2"/>
          </rPr>
          <t xml:space="preserve">
Length of the period that you will be able to maintain high growth before becoming stable growth firm.</t>
        </r>
      </text>
    </comment>
    <comment ref="B18" authorId="0" shapeId="0">
      <text>
        <r>
          <rPr>
            <b/>
            <sz val="9"/>
            <color indexed="81"/>
            <rFont val="Calibri"/>
            <family val="2"/>
          </rPr>
          <t>Aswath Damodaran:</t>
        </r>
        <r>
          <rPr>
            <sz val="9"/>
            <color indexed="81"/>
            <rFont val="Calibri"/>
            <family val="2"/>
          </rPr>
          <t xml:space="preserve">
If you want to use the worksheet, you can or you can use the industry average.</t>
        </r>
      </text>
    </comment>
    <comment ref="B19" authorId="0" shapeId="0">
      <text>
        <r>
          <rPr>
            <b/>
            <sz val="9"/>
            <color indexed="81"/>
            <rFont val="Calibri"/>
            <family val="2"/>
          </rPr>
          <t>Aswath Damodaran:</t>
        </r>
        <r>
          <rPr>
            <sz val="9"/>
            <color indexed="81"/>
            <rFont val="Calibri"/>
            <family val="2"/>
          </rPr>
          <t xml:space="preserve">
If you want to use the worksheet, you can or you can use the industry average</t>
        </r>
      </text>
    </comment>
    <comment ref="B20" authorId="0" shapeId="0">
      <text>
        <r>
          <rPr>
            <b/>
            <sz val="9"/>
            <color indexed="81"/>
            <rFont val="Calibri"/>
            <family val="2"/>
          </rPr>
          <t>Aswath Damodaran:</t>
        </r>
        <r>
          <rPr>
            <sz val="9"/>
            <color indexed="81"/>
            <rFont val="Calibri"/>
            <family val="2"/>
          </rPr>
          <t xml:space="preserve">
Long term riskfree rate in the currency of valuation.</t>
        </r>
      </text>
    </comment>
    <comment ref="A58" authorId="1" shapeId="0">
      <text>
        <r>
          <rPr>
            <b/>
            <sz val="9"/>
            <color indexed="81"/>
            <rFont val="Tahoma"/>
            <family val="2"/>
          </rPr>
          <t>Windows User:</t>
        </r>
        <r>
          <rPr>
            <sz val="9"/>
            <color indexed="81"/>
            <rFont val="Tahoma"/>
            <family val="2"/>
          </rPr>
          <t xml:space="preserve">
Following the pure convention, which requires reinvestment to precede growth by a year. Reinvest the high growth reinvestment rate of current after-tax operating income to facilitate growth for year 1.</t>
        </r>
      </text>
    </comment>
    <comment ref="L58" authorId="0" shapeId="0">
      <text>
        <r>
          <rPr>
            <b/>
            <sz val="9"/>
            <color indexed="81"/>
            <rFont val="Calibri"/>
            <family val="2"/>
          </rPr>
          <t>Aswath Damodaran:</t>
        </r>
        <r>
          <rPr>
            <sz val="9"/>
            <color indexed="81"/>
            <rFont val="Calibri"/>
            <family val="2"/>
          </rPr>
          <t xml:space="preserve">
Reinvestment rate drops to stable period reinvestment rate in final year of high growth.</t>
        </r>
      </text>
    </comment>
  </commentList>
</comments>
</file>

<file path=xl/comments2.xml><?xml version="1.0" encoding="utf-8"?>
<comments xmlns="http://schemas.openxmlformats.org/spreadsheetml/2006/main">
  <authors>
    <author>Windows User</author>
    <author>Aswath Damodaran</author>
  </authors>
  <commentList>
    <comment ref="A1" authorId="0" shapeId="0">
      <text>
        <r>
          <rPr>
            <sz val="9"/>
            <color indexed="81"/>
            <rFont val="Tahoma"/>
            <family val="2"/>
          </rPr>
          <t>Step1: Replicate and organize the model in worksheet "Section1" in column B of this sheet.</t>
        </r>
      </text>
    </comment>
    <comment ref="B1" authorId="1" shapeId="0">
      <text>
        <r>
          <rPr>
            <b/>
            <sz val="9"/>
            <color indexed="81"/>
            <rFont val="Calibri"/>
            <family val="2"/>
          </rPr>
          <t>Aswath Damodaran:</t>
        </r>
        <r>
          <rPr>
            <sz val="9"/>
            <color indexed="81"/>
            <rFont val="Calibri"/>
            <family val="2"/>
          </rPr>
          <t xml:space="preserve">
Market capitalizarion of all classes of shares in your company.</t>
        </r>
      </text>
    </comment>
    <comment ref="D1" authorId="0" shapeId="0">
      <text>
        <r>
          <rPr>
            <sz val="9"/>
            <color indexed="81"/>
            <rFont val="Tahoma"/>
            <family val="2"/>
          </rPr>
          <t>Step2: Explain your input variables (see http://aswathdamodaran.blogspot.com/2012/05/how-much-is-growth-worth.html)</t>
        </r>
      </text>
    </comment>
    <comment ref="J1" authorId="0" shapeId="0">
      <text>
        <r>
          <rPr>
            <sz val="9"/>
            <color indexed="81"/>
            <rFont val="Tahoma"/>
            <family val="2"/>
          </rPr>
          <t>Step 3: Get the names for your input variables and insert your input variables in your function</t>
        </r>
      </text>
    </comment>
    <comment ref="L1" authorId="0" shapeId="0">
      <text>
        <r>
          <rPr>
            <sz val="9"/>
            <color indexed="81"/>
            <rFont val="Tahoma"/>
            <family val="2"/>
          </rPr>
          <t xml:space="preserve">
Step 4: Declare your input variables as Variant</t>
        </r>
      </text>
    </comment>
    <comment ref="U1" authorId="0" shapeId="0">
      <text>
        <r>
          <rPr>
            <sz val="9"/>
            <color indexed="81"/>
            <rFont val="Tahoma"/>
            <family val="2"/>
          </rPr>
          <t>Step 6: Create the headings for your output matrix</t>
        </r>
      </text>
    </comment>
    <comment ref="X1" authorId="0" shapeId="0">
      <text>
        <r>
          <rPr>
            <sz val="9"/>
            <color indexed="81"/>
            <rFont val="Tahoma"/>
            <family val="2"/>
          </rPr>
          <t>Step7: Start coding the formulations of the output matrix (TEMP_MATRIX)</t>
        </r>
      </text>
    </comment>
    <comment ref="B2" authorId="1" shapeId="0">
      <text>
        <r>
          <rPr>
            <b/>
            <sz val="9"/>
            <color indexed="81"/>
            <rFont val="Calibri"/>
            <family val="2"/>
          </rPr>
          <t>Aswath Damodaran:</t>
        </r>
        <r>
          <rPr>
            <sz val="9"/>
            <color indexed="81"/>
            <rFont val="Calibri"/>
            <family val="2"/>
          </rPr>
          <t xml:space="preserve">
Book value of equity from the balance sheet, including retailed earnings.</t>
        </r>
      </text>
    </comment>
    <comment ref="B4" authorId="1" shapeId="0">
      <text>
        <r>
          <rPr>
            <b/>
            <sz val="9"/>
            <color indexed="81"/>
            <rFont val="Calibri"/>
            <family val="2"/>
          </rPr>
          <t>Aswath Damodaran:</t>
        </r>
        <r>
          <rPr>
            <sz val="9"/>
            <color indexed="81"/>
            <rFont val="Calibri"/>
            <family val="2"/>
          </rPr>
          <t xml:space="preserve">
Book value of interest bearting debt, short as well as long term. Should not include accounts payable, supplier credit, deferred iems or other non-interest bearing debt.</t>
        </r>
      </text>
    </comment>
    <comment ref="B6" authorId="1" shapeId="0">
      <text>
        <r>
          <rPr>
            <b/>
            <sz val="9"/>
            <color indexed="81"/>
            <rFont val="Calibri"/>
            <family val="2"/>
          </rPr>
          <t>Aswath Damodaran:</t>
        </r>
        <r>
          <rPr>
            <sz val="9"/>
            <color indexed="81"/>
            <rFont val="Calibri"/>
            <family val="2"/>
          </rPr>
          <t xml:space="preserve">
Cash and marketable securites as of last balance sheet. </t>
        </r>
      </text>
    </comment>
    <comment ref="B8" authorId="1" shapeId="0">
      <text>
        <r>
          <rPr>
            <b/>
            <sz val="9"/>
            <color indexed="81"/>
            <rFont val="Calibri"/>
            <family val="2"/>
          </rPr>
          <t>Aswath Damodaran:</t>
        </r>
        <r>
          <rPr>
            <sz val="9"/>
            <color indexed="81"/>
            <rFont val="Calibri"/>
            <family val="2"/>
          </rPr>
          <t xml:space="preserve">
Sales or revenues in most recent year</t>
        </r>
      </text>
    </comment>
    <comment ref="B10" authorId="1" shapeId="0">
      <text>
        <r>
          <rPr>
            <b/>
            <sz val="9"/>
            <color indexed="81"/>
            <rFont val="Calibri"/>
            <family val="2"/>
          </rPr>
          <t>Aswath Damodaran:</t>
        </r>
        <r>
          <rPr>
            <sz val="9"/>
            <color indexed="81"/>
            <rFont val="Calibri"/>
            <family val="2"/>
          </rPr>
          <t xml:space="preserve">
Operating income for the most recent year</t>
        </r>
      </text>
    </comment>
    <comment ref="B12" authorId="1" shapeId="0">
      <text>
        <r>
          <rPr>
            <b/>
            <sz val="9"/>
            <color indexed="81"/>
            <rFont val="Calibri"/>
            <family val="2"/>
          </rPr>
          <t>Aswath Damodaran:</t>
        </r>
        <r>
          <rPr>
            <sz val="9"/>
            <color indexed="81"/>
            <rFont val="Calibri"/>
            <family val="2"/>
          </rPr>
          <t xml:space="preserve">
Effective tax rate from income statement. Divide taxes paid by taxable income.</t>
        </r>
      </text>
    </comment>
    <comment ref="B13" authorId="1" shapeId="0">
      <text>
        <r>
          <rPr>
            <b/>
            <sz val="9"/>
            <color indexed="81"/>
            <rFont val="Calibri"/>
            <family val="2"/>
          </rPr>
          <t>Aswath Damodaran:</t>
        </r>
        <r>
          <rPr>
            <sz val="9"/>
            <color indexed="81"/>
            <rFont val="Calibri"/>
            <family val="2"/>
          </rPr>
          <t xml:space="preserve">
Net income for most recent year, prior to extraordinary items.</t>
        </r>
      </text>
    </comment>
    <comment ref="B14" authorId="1" shapeId="0">
      <text>
        <r>
          <rPr>
            <b/>
            <sz val="9"/>
            <color indexed="81"/>
            <rFont val="Calibri"/>
            <family val="2"/>
          </rPr>
          <t>Aswath Damodaran:</t>
        </r>
        <r>
          <rPr>
            <sz val="9"/>
            <color indexed="81"/>
            <rFont val="Calibri"/>
            <family val="2"/>
          </rPr>
          <t xml:space="preserve">
Expected compounded annual growth rate in operating income during high growth period.</t>
        </r>
      </text>
    </comment>
    <comment ref="B15" authorId="1" shapeId="0">
      <text>
        <r>
          <rPr>
            <b/>
            <sz val="9"/>
            <color indexed="81"/>
            <rFont val="Calibri"/>
            <family val="2"/>
          </rPr>
          <t>Aswath Damodaran:</t>
        </r>
        <r>
          <rPr>
            <sz val="9"/>
            <color indexed="81"/>
            <rFont val="Calibri"/>
            <family val="2"/>
          </rPr>
          <t xml:space="preserve">
While the default is set to the current ROIC, you can change it to reflect industry averages or trends you see at your company.</t>
        </r>
      </text>
    </comment>
    <comment ref="B16" authorId="1" shapeId="0">
      <text>
        <r>
          <rPr>
            <b/>
            <sz val="9"/>
            <color indexed="81"/>
            <rFont val="Calibri"/>
            <family val="2"/>
          </rPr>
          <t>Aswath Damodaran:</t>
        </r>
        <r>
          <rPr>
            <sz val="9"/>
            <color indexed="81"/>
            <rFont val="Calibri"/>
            <family val="2"/>
          </rPr>
          <t xml:space="preserve">
Length of the period that you will be able to maintain high growth before becoming stable growth firm.</t>
        </r>
      </text>
    </comment>
    <comment ref="B17" authorId="1" shapeId="0">
      <text>
        <r>
          <rPr>
            <b/>
            <sz val="9"/>
            <color indexed="81"/>
            <rFont val="Calibri"/>
            <family val="2"/>
          </rPr>
          <t>Aswath Damodaran:</t>
        </r>
        <r>
          <rPr>
            <sz val="9"/>
            <color indexed="81"/>
            <rFont val="Calibri"/>
            <family val="2"/>
          </rPr>
          <t xml:space="preserve">
If you want to use the worksheet, you can or you can use the industry average.</t>
        </r>
      </text>
    </comment>
    <comment ref="B18" authorId="1" shapeId="0">
      <text>
        <r>
          <rPr>
            <b/>
            <sz val="9"/>
            <color indexed="81"/>
            <rFont val="Calibri"/>
            <family val="2"/>
          </rPr>
          <t>Aswath Damodaran:</t>
        </r>
        <r>
          <rPr>
            <sz val="9"/>
            <color indexed="81"/>
            <rFont val="Calibri"/>
            <family val="2"/>
          </rPr>
          <t xml:space="preserve">
If you want to use the worksheet, you can or you can use the industry average</t>
        </r>
      </text>
    </comment>
    <comment ref="B19" authorId="1" shapeId="0">
      <text>
        <r>
          <rPr>
            <b/>
            <sz val="9"/>
            <color indexed="81"/>
            <rFont val="Calibri"/>
            <family val="2"/>
          </rPr>
          <t>Aswath Damodaran:</t>
        </r>
        <r>
          <rPr>
            <sz val="9"/>
            <color indexed="81"/>
            <rFont val="Calibri"/>
            <family val="2"/>
          </rPr>
          <t xml:space="preserve">
Long term riskfree rate in the currency of valuation.</t>
        </r>
      </text>
    </comment>
    <comment ref="M21" authorId="0" shapeId="0">
      <text>
        <r>
          <rPr>
            <sz val="9"/>
            <color indexed="81"/>
            <rFont val="Tahoma"/>
            <family val="2"/>
          </rPr>
          <t xml:space="preserve">
Step 5: Assign your input variables as Variant</t>
        </r>
      </text>
    </comment>
  </commentList>
</comments>
</file>

<file path=xl/sharedStrings.xml><?xml version="1.0" encoding="utf-8"?>
<sst xmlns="http://schemas.openxmlformats.org/spreadsheetml/2006/main" count="1047" uniqueCount="591">
  <si>
    <t>Market inputs for your company</t>
  </si>
  <si>
    <t xml:space="preserve">Market Capitalization </t>
  </si>
  <si>
    <t>Measures of profitability, leverage &amp; growth</t>
  </si>
  <si>
    <t>From the balance sheet</t>
  </si>
  <si>
    <t>This year</t>
  </si>
  <si>
    <t>Last year</t>
  </si>
  <si>
    <t>ROE =</t>
  </si>
  <si>
    <t xml:space="preserve">Book value of equity </t>
  </si>
  <si>
    <t>ROIC =</t>
  </si>
  <si>
    <t xml:space="preserve">Total Debt Outstanding </t>
  </si>
  <si>
    <t>Net margin =</t>
  </si>
  <si>
    <t xml:space="preserve">Cash &amp; Marketable Securities </t>
  </si>
  <si>
    <t>Pre-tax operating margin =</t>
  </si>
  <si>
    <t>From the income statement</t>
  </si>
  <si>
    <t>D/E ratio (book) =</t>
  </si>
  <si>
    <t>Revenues</t>
  </si>
  <si>
    <t>D/E ratio (market) =</t>
  </si>
  <si>
    <t xml:space="preserve">Operating income (EBIT) </t>
  </si>
  <si>
    <t>Growth rate (revenue)</t>
  </si>
  <si>
    <t xml:space="preserve">Effective tax rate </t>
  </si>
  <si>
    <t>Growth rate (EBIT)</t>
  </si>
  <si>
    <t>Net Income</t>
  </si>
  <si>
    <t>Your growth inputs</t>
  </si>
  <si>
    <t>Expected growth rate in operating income=</t>
  </si>
  <si>
    <t>To solve for the implied growth rate in your market value, follow these steps:</t>
  </si>
  <si>
    <t xml:space="preserve">Return on Invested capital on growth </t>
  </si>
  <si>
    <t>1. Open the Goal Seek function in Excel (under Tools)</t>
  </si>
  <si>
    <t xml:space="preserve">Length of growth period </t>
  </si>
  <si>
    <t>Your cost of capital inputs</t>
  </si>
  <si>
    <t xml:space="preserve">Cost of equity </t>
  </si>
  <si>
    <t>3. You should see the implied growth rate in B14.</t>
  </si>
  <si>
    <t xml:space="preserve">Cost of capital </t>
  </si>
  <si>
    <t xml:space="preserve">Riskfree rate </t>
  </si>
  <si>
    <t>Intrinsic Value</t>
  </si>
  <si>
    <t>Market Value</t>
  </si>
  <si>
    <t xml:space="preserve">Value of assets in place </t>
  </si>
  <si>
    <t>Market value of equity</t>
  </si>
  <si>
    <t xml:space="preserve">Value added by future growth </t>
  </si>
  <si>
    <t>Enterprise value</t>
  </si>
  <si>
    <t>Intrinsic enterprise value</t>
  </si>
  <si>
    <t>Intrinsic equity value</t>
  </si>
  <si>
    <t>Growth Analysis</t>
  </si>
  <si>
    <t xml:space="preserve">Price you are paying for growth </t>
  </si>
  <si>
    <t xml:space="preserve">Value of this growth </t>
  </si>
  <si>
    <t>Price of growth/ Value of growth</t>
  </si>
  <si>
    <t>Breakdown of multiples</t>
  </si>
  <si>
    <t>Actual</t>
  </si>
  <si>
    <t>Intrinsic</t>
  </si>
  <si>
    <t>Total</t>
  </si>
  <si>
    <t>Assets in Place</t>
  </si>
  <si>
    <t>Growth</t>
  </si>
  <si>
    <t>Assets in place</t>
  </si>
  <si>
    <t>P/E</t>
  </si>
  <si>
    <t>P/BV</t>
  </si>
  <si>
    <t>EV/Sales</t>
  </si>
  <si>
    <t>EV/Invested Capital</t>
  </si>
  <si>
    <t>No Growth Scenario</t>
  </si>
  <si>
    <t>Reinvestment Rate =</t>
  </si>
  <si>
    <t>After-tax Operating Income</t>
  </si>
  <si>
    <t xml:space="preserve"> - Reinvestment</t>
  </si>
  <si>
    <t>FCFF</t>
  </si>
  <si>
    <t>Terminal year AT Oper income (in year n+1)</t>
  </si>
  <si>
    <t>Terminal year reinvestment (in year n+1)</t>
  </si>
  <si>
    <t>Terminal year FCFF (in year n+1)</t>
  </si>
  <si>
    <t>Terminal Value (in year n)</t>
  </si>
  <si>
    <t>Value today</t>
  </si>
  <si>
    <t>Growth Scenario</t>
  </si>
  <si>
    <t>! Expected growth rate in high growth rate/ Return on Invested capital in high growth</t>
  </si>
  <si>
    <t>Reinvestment Rate (stable growth)</t>
  </si>
  <si>
    <t>! Assume stable growth rate = riskfree rate; return on capital in stable growth = cost of capital</t>
  </si>
  <si>
    <t>Terminal year operating income</t>
  </si>
  <si>
    <t>Terminal year FCFF</t>
  </si>
  <si>
    <t>Terminal Value</t>
  </si>
  <si>
    <t>Growth Scenario - No Growth Scenario</t>
  </si>
  <si>
    <r>
      <rPr>
        <b/>
        <sz val="14"/>
        <color rgb="FFFF0000"/>
        <rFont val="Calibri"/>
        <family val="2"/>
        <scheme val="minor"/>
      </rPr>
      <t>A MUST READ</t>
    </r>
    <r>
      <rPr>
        <b/>
        <sz val="14"/>
        <color theme="1"/>
        <rFont val="Calibri"/>
        <family val="2"/>
        <scheme val="minor"/>
      </rPr>
      <t>: http://aswathdamodaran.blogspot.com/2012/05/how-much-is-growth-worth.html</t>
    </r>
  </si>
  <si>
    <t>Market Capitalization</t>
  </si>
  <si>
    <t>Total Debt Outstanding - this year</t>
  </si>
  <si>
    <t>Cash and Marketable Securities - this year</t>
  </si>
  <si>
    <t>Operating income EBIT - this year</t>
  </si>
  <si>
    <t>Effective tax rate</t>
  </si>
  <si>
    <t>Cost of capital</t>
  </si>
  <si>
    <t>Riskfree rate</t>
  </si>
  <si>
    <t>Length of growth period</t>
  </si>
  <si>
    <t>Return on Invested capital on growth</t>
  </si>
  <si>
    <t>Value of assets in place</t>
  </si>
  <si>
    <t>Expected growth rate in operating income</t>
  </si>
  <si>
    <t>Value added by future growth</t>
  </si>
  <si>
    <t>Price you are paying for growth</t>
  </si>
  <si>
    <t>Value of this growth</t>
  </si>
  <si>
    <t>X</t>
  </si>
  <si>
    <t>Y</t>
  </si>
  <si>
    <t>Error Allowed</t>
  </si>
  <si>
    <t>Error</t>
  </si>
  <si>
    <t>Intrinsic enterprise value calculation with GROWTH_WORTH_CALC_FUNC</t>
  </si>
  <si>
    <t>Delta Growth</t>
  </si>
  <si>
    <t>If you are interested in the mechanics of the valuation, here are the cash flows (for up to 10 years of high growth… if your growth period exceeds 10 years, this detailed cash flow table will not work (see GROWTH_WORTH_CALC_FUNC for higher than 10 years))</t>
  </si>
  <si>
    <t>Brute Force</t>
  </si>
  <si>
    <t>Solver Func</t>
  </si>
  <si>
    <t xml:space="preserve"> </t>
  </si>
  <si>
    <t>INDEX</t>
  </si>
  <si>
    <t>SHEET NAME</t>
  </si>
  <si>
    <t>ADDRESS1</t>
  </si>
  <si>
    <t>ADDRESS2</t>
  </si>
  <si>
    <t>VALUE</t>
  </si>
  <si>
    <t>FORMULA</t>
  </si>
  <si>
    <t>$E$4</t>
  </si>
  <si>
    <t>R4C5</t>
  </si>
  <si>
    <t>B12/C5</t>
  </si>
  <si>
    <t>$E$5</t>
  </si>
  <si>
    <t>R5C5</t>
  </si>
  <si>
    <t>B10*(1-B11)/(C5+C6-C7)</t>
  </si>
  <si>
    <t>$E$6</t>
  </si>
  <si>
    <t>R6C5</t>
  </si>
  <si>
    <t>B12/B9</t>
  </si>
  <si>
    <t>$E$7</t>
  </si>
  <si>
    <t>R7C5</t>
  </si>
  <si>
    <t>B10*(1-B11)/B9</t>
  </si>
  <si>
    <t>$E$8</t>
  </si>
  <si>
    <t>R8C5</t>
  </si>
  <si>
    <t>B6/B5</t>
  </si>
  <si>
    <t>$E$9</t>
  </si>
  <si>
    <t>R9C5</t>
  </si>
  <si>
    <t>B6/B3</t>
  </si>
  <si>
    <t>$E$10</t>
  </si>
  <si>
    <t>R10C5</t>
  </si>
  <si>
    <t>B9/C9-1</t>
  </si>
  <si>
    <t>$E$11</t>
  </si>
  <si>
    <t>R11C5</t>
  </si>
  <si>
    <t>(B10/C10)-1</t>
  </si>
  <si>
    <t>$B$15</t>
  </si>
  <si>
    <t>R15C2</t>
  </si>
  <si>
    <t>E5</t>
  </si>
  <si>
    <t>$B$23</t>
  </si>
  <si>
    <t>R23C2</t>
  </si>
  <si>
    <t>B10*(1-B11)/B19</t>
  </si>
  <si>
    <t>$C$23</t>
  </si>
  <si>
    <t>R23C3</t>
  </si>
  <si>
    <t>B23-B50</t>
  </si>
  <si>
    <t>$E$23</t>
  </si>
  <si>
    <t>R23C5</t>
  </si>
  <si>
    <t>B3</t>
  </si>
  <si>
    <t>$B$24</t>
  </si>
  <si>
    <t>R24C2</t>
  </si>
  <si>
    <t>IF(B14B19,-B10*(1-B11)*(B14/B15)+B10*(1-B11)*(1-B14/B15)*(B16-1)+B10*(1-B11)*(1+B14)^B16*(1-B20/B19)/(1+B19)^B16+(B10*(1-B11)*(1+B14)^B16*(1+B20)*(1-B20/B19)/(B19-B20))/(1+B19)^B16-B23,-B10*(1-B11)*(B14/B15)+B10*(1-B11)*(1-B14/B15)*(1+B14)*(1-(1+B14)^(B16-1)/(1+B19)^(B16-1))/(B19-B14)+B10*(1-B11)*(1+B14)^B16*(1-B20/B19)/(1+B19)^B16+(B10*(1-B11)*(1+B14)^B16*(1+B20)*(1-B20/B19)/(B19-B20))/(1+B19)^B16-B23)</t>
  </si>
  <si>
    <t>$E$24</t>
  </si>
  <si>
    <t>R24C5</t>
  </si>
  <si>
    <t>B3+B6-B7</t>
  </si>
  <si>
    <t>$B$25</t>
  </si>
  <si>
    <t>R25C2</t>
  </si>
  <si>
    <t>B23+B24</t>
  </si>
  <si>
    <t>$C$25</t>
  </si>
  <si>
    <t>R25C3</t>
  </si>
  <si>
    <t>B25-B63</t>
  </si>
  <si>
    <t>$B$26</t>
  </si>
  <si>
    <t>R26C2</t>
  </si>
  <si>
    <t>B25-B6+B7</t>
  </si>
  <si>
    <t>$B$28</t>
  </si>
  <si>
    <t>R28C2</t>
  </si>
  <si>
    <t>(B3+B6-B7-B23)</t>
  </si>
  <si>
    <t>$B$29</t>
  </si>
  <si>
    <t>R29C2</t>
  </si>
  <si>
    <t>B24</t>
  </si>
  <si>
    <t>$C$29</t>
  </si>
  <si>
    <t>R29C3</t>
  </si>
  <si>
    <t>B28-B29</t>
  </si>
  <si>
    <t>$B$30</t>
  </si>
  <si>
    <t>R30C2</t>
  </si>
  <si>
    <t>IF(B290,0,B28/B29)</t>
  </si>
  <si>
    <t>$B$34</t>
  </si>
  <si>
    <t>R34C2</t>
  </si>
  <si>
    <t>B3/B12</t>
  </si>
  <si>
    <t>$C$34</t>
  </si>
  <si>
    <t>R34C3</t>
  </si>
  <si>
    <t>(B23-B6+B7)/B12</t>
  </si>
  <si>
    <t>$D$34</t>
  </si>
  <si>
    <t>R34C4</t>
  </si>
  <si>
    <t>B34-C34</t>
  </si>
  <si>
    <t>$E$34</t>
  </si>
  <si>
    <t>R34C5</t>
  </si>
  <si>
    <t>(B24+B23-B6+B7)/B12</t>
  </si>
  <si>
    <t>$F$34</t>
  </si>
  <si>
    <t>R34C6</t>
  </si>
  <si>
    <t>C34</t>
  </si>
  <si>
    <t>$G$34</t>
  </si>
  <si>
    <t>R34C7</t>
  </si>
  <si>
    <t>E34-F34</t>
  </si>
  <si>
    <t>$B$35</t>
  </si>
  <si>
    <t>R35C2</t>
  </si>
  <si>
    <t>B3/B5</t>
  </si>
  <si>
    <t>$C$35</t>
  </si>
  <si>
    <t>R35C3</t>
  </si>
  <si>
    <t>(B23-B6+B7)/B5</t>
  </si>
  <si>
    <t>$D$35</t>
  </si>
  <si>
    <t>R35C4</t>
  </si>
  <si>
    <t>B35-C35</t>
  </si>
  <si>
    <t>$E$35</t>
  </si>
  <si>
    <t>R35C5</t>
  </si>
  <si>
    <t>(B24+B23-B6+B7)/B5</t>
  </si>
  <si>
    <t>$F$35</t>
  </si>
  <si>
    <t>R35C6</t>
  </si>
  <si>
    <t>C35</t>
  </si>
  <si>
    <t>$G$35</t>
  </si>
  <si>
    <t>R35C7</t>
  </si>
  <si>
    <t>E35-F35</t>
  </si>
  <si>
    <t>$B$36</t>
  </si>
  <si>
    <t>R36C2</t>
  </si>
  <si>
    <t>B3/B9</t>
  </si>
  <si>
    <t>$C$36</t>
  </si>
  <si>
    <t>R36C3</t>
  </si>
  <si>
    <t>B23/B9</t>
  </si>
  <si>
    <t>$D$36</t>
  </si>
  <si>
    <t>R36C4</t>
  </si>
  <si>
    <t>B36-C36</t>
  </si>
  <si>
    <t>$E$36</t>
  </si>
  <si>
    <t>R36C5</t>
  </si>
  <si>
    <t>(B24+B23)/B9</t>
  </si>
  <si>
    <t>$F$36</t>
  </si>
  <si>
    <t>R36C6</t>
  </si>
  <si>
    <t>C36</t>
  </si>
  <si>
    <t>$G$36</t>
  </si>
  <si>
    <t>R36C7</t>
  </si>
  <si>
    <t>E36-F36</t>
  </si>
  <si>
    <t>$B$37</t>
  </si>
  <si>
    <t>R37C2</t>
  </si>
  <si>
    <t>B3/(B5+B6-B7)</t>
  </si>
  <si>
    <t>$C$37</t>
  </si>
  <si>
    <t>R37C3</t>
  </si>
  <si>
    <t>B23/(B5+B6-B7)</t>
  </si>
  <si>
    <t>$D$37</t>
  </si>
  <si>
    <t>R37C4</t>
  </si>
  <si>
    <t>B37-C37</t>
  </si>
  <si>
    <t>$E$37</t>
  </si>
  <si>
    <t>R37C5</t>
  </si>
  <si>
    <t>(B24+B23)/(B5+B6-B7)</t>
  </si>
  <si>
    <t>$F$37</t>
  </si>
  <si>
    <t>R37C6</t>
  </si>
  <si>
    <t>C37</t>
  </si>
  <si>
    <t>$G$37</t>
  </si>
  <si>
    <t>R37C7</t>
  </si>
  <si>
    <t>E37-F37</t>
  </si>
  <si>
    <t>$C$42</t>
  </si>
  <si>
    <t>R42C3</t>
  </si>
  <si>
    <t>IF(B16&lt;1,,1)</t>
  </si>
  <si>
    <t>$D$42</t>
  </si>
  <si>
    <t>R42C4</t>
  </si>
  <si>
    <t>IF(B16&lt;2,,2)</t>
  </si>
  <si>
    <t>$E$42</t>
  </si>
  <si>
    <t>R42C5</t>
  </si>
  <si>
    <t>IF(B16&lt;3,,3)</t>
  </si>
  <si>
    <t>$F$42</t>
  </si>
  <si>
    <t>R42C6</t>
  </si>
  <si>
    <t>IF(B16&lt;4,,4)</t>
  </si>
  <si>
    <t>$G$42</t>
  </si>
  <si>
    <t>R42C7</t>
  </si>
  <si>
    <t>IF(B16&lt;5,,5)</t>
  </si>
  <si>
    <t>$H$42</t>
  </si>
  <si>
    <t>R42C8</t>
  </si>
  <si>
    <t>IF(B16&lt;6,,6)</t>
  </si>
  <si>
    <t>$I$42</t>
  </si>
  <si>
    <t>R42C9</t>
  </si>
  <si>
    <t>IF(B16&lt;7,,7)</t>
  </si>
  <si>
    <t>$J$42</t>
  </si>
  <si>
    <t>R42C10</t>
  </si>
  <si>
    <t>IF(B16&lt;8,,8)</t>
  </si>
  <si>
    <t>$K$42</t>
  </si>
  <si>
    <t>R42C11</t>
  </si>
  <si>
    <t>IF(B16&lt;9,,9)</t>
  </si>
  <si>
    <t>$L$42</t>
  </si>
  <si>
    <t>R42C12</t>
  </si>
  <si>
    <t>IF(B16&lt;10,,10)</t>
  </si>
  <si>
    <t>$C$43</t>
  </si>
  <si>
    <t>R43C3</t>
  </si>
  <si>
    <t>IF(C42&gt;0,$B$10*(1-$B$11),)</t>
  </si>
  <si>
    <t>$D$43</t>
  </si>
  <si>
    <t>R43C4</t>
  </si>
  <si>
    <t>IF(D42&gt;0,$B$10*(1-$B$11),)</t>
  </si>
  <si>
    <t>$E$43</t>
  </si>
  <si>
    <t>R43C5</t>
  </si>
  <si>
    <t>IF(E42&gt;0,$B$10*(1-$B$11),)</t>
  </si>
  <si>
    <t>$F$43</t>
  </si>
  <si>
    <t>R43C6</t>
  </si>
  <si>
    <t>IF(F42&gt;0,$B$10*(1-$B$11),)</t>
  </si>
  <si>
    <t>$G$43</t>
  </si>
  <si>
    <t>R43C7</t>
  </si>
  <si>
    <t>IF(G42&gt;0,$B$10*(1-$B$11),)</t>
  </si>
  <si>
    <t>$H$43</t>
  </si>
  <si>
    <t>R43C8</t>
  </si>
  <si>
    <t>IF(H42&gt;0,$B$10*(1-$B$11),)</t>
  </si>
  <si>
    <t>$I$43</t>
  </si>
  <si>
    <t>R43C9</t>
  </si>
  <si>
    <t>IF(I42&gt;0,$B$10*(1-$B$11),)</t>
  </si>
  <si>
    <t>$J$43</t>
  </si>
  <si>
    <t>R43C10</t>
  </si>
  <si>
    <t>IF(J42&gt;0,$B$10*(1-$B$11),)</t>
  </si>
  <si>
    <t>$K$43</t>
  </si>
  <si>
    <t>R43C11</t>
  </si>
  <si>
    <t>IF(K42&gt;0,$B$10*(1-$B$11),)</t>
  </si>
  <si>
    <t>$L$43</t>
  </si>
  <si>
    <t>R43C12</t>
  </si>
  <si>
    <t>IF(L42&gt;0,$B$10*(1-$B$11),)</t>
  </si>
  <si>
    <t>$C$45</t>
  </si>
  <si>
    <t>R45C3</t>
  </si>
  <si>
    <t>C43-C44</t>
  </si>
  <si>
    <t>$D$45</t>
  </si>
  <si>
    <t>R45C4</t>
  </si>
  <si>
    <t>D43-D44</t>
  </si>
  <si>
    <t>$E$45</t>
  </si>
  <si>
    <t>R45C5</t>
  </si>
  <si>
    <t>E43-E44</t>
  </si>
  <si>
    <t>$F$45</t>
  </si>
  <si>
    <t>R45C6</t>
  </si>
  <si>
    <t>F43-F44</t>
  </si>
  <si>
    <t>$G$45</t>
  </si>
  <si>
    <t>R45C7</t>
  </si>
  <si>
    <t>G43-G44</t>
  </si>
  <si>
    <t>$H$45</t>
  </si>
  <si>
    <t>R45C8</t>
  </si>
  <si>
    <t>H43-H44</t>
  </si>
  <si>
    <t>$I$45</t>
  </si>
  <si>
    <t>R45C9</t>
  </si>
  <si>
    <t>I43-I44</t>
  </si>
  <si>
    <t>$J$45</t>
  </si>
  <si>
    <t>R45C10</t>
  </si>
  <si>
    <t>J43-J44</t>
  </si>
  <si>
    <t>$K$45</t>
  </si>
  <si>
    <t>R45C11</t>
  </si>
  <si>
    <t>K43-K44</t>
  </si>
  <si>
    <t>$L$45</t>
  </si>
  <si>
    <t>R45C12</t>
  </si>
  <si>
    <t>L43-L44</t>
  </si>
  <si>
    <t>$B$46</t>
  </si>
  <si>
    <t>R46C2</t>
  </si>
  <si>
    <t>B10*(1-B11)</t>
  </si>
  <si>
    <t>$B$48</t>
  </si>
  <si>
    <t>R48C2</t>
  </si>
  <si>
    <t>B46-B47</t>
  </si>
  <si>
    <t>$B$49</t>
  </si>
  <si>
    <t>R49C2</t>
  </si>
  <si>
    <t>B48/B19</t>
  </si>
  <si>
    <t>$B$50</t>
  </si>
  <si>
    <t>R50C2</t>
  </si>
  <si>
    <t>NPV(B19,C45:L45)+B49/(1+B19)^B16</t>
  </si>
  <si>
    <t>$C$50</t>
  </si>
  <si>
    <t>R50C3</t>
  </si>
  <si>
    <t>GROWTH_WORTH_CALC_FUNC(B10,B11,B19,B20,B16,B15,0)</t>
  </si>
  <si>
    <t>$D$50</t>
  </si>
  <si>
    <t>R50C4</t>
  </si>
  <si>
    <t>B50-C50</t>
  </si>
  <si>
    <t>$B$54</t>
  </si>
  <si>
    <t>R54C2</t>
  </si>
  <si>
    <t>B14/B15</t>
  </si>
  <si>
    <t>$B$55</t>
  </si>
  <si>
    <t>R55C2</t>
  </si>
  <si>
    <t>B20/B19</t>
  </si>
  <si>
    <t>$B$56</t>
  </si>
  <si>
    <t>R56C2</t>
  </si>
  <si>
    <t>B42</t>
  </si>
  <si>
    <t>$C$56</t>
  </si>
  <si>
    <t>R56C3</t>
  </si>
  <si>
    <t>C42</t>
  </si>
  <si>
    <t>$D$56</t>
  </si>
  <si>
    <t>R56C4</t>
  </si>
  <si>
    <t>D42</t>
  </si>
  <si>
    <t>$E$56</t>
  </si>
  <si>
    <t>R56C5</t>
  </si>
  <si>
    <t>E42</t>
  </si>
  <si>
    <t>$F$56</t>
  </si>
  <si>
    <t>R56C6</t>
  </si>
  <si>
    <t>F42</t>
  </si>
  <si>
    <t>$G$56</t>
  </si>
  <si>
    <t>R56C7</t>
  </si>
  <si>
    <t>G42</t>
  </si>
  <si>
    <t>$H$56</t>
  </si>
  <si>
    <t>R56C8</t>
  </si>
  <si>
    <t>H42</t>
  </si>
  <si>
    <t>$I$56</t>
  </si>
  <si>
    <t>R56C9</t>
  </si>
  <si>
    <t>I42</t>
  </si>
  <si>
    <t>$J$56</t>
  </si>
  <si>
    <t>R56C10</t>
  </si>
  <si>
    <t>J42</t>
  </si>
  <si>
    <t>$K$56</t>
  </si>
  <si>
    <t>R56C11</t>
  </si>
  <si>
    <t>K42</t>
  </si>
  <si>
    <t>$L$56</t>
  </si>
  <si>
    <t>R56C12</t>
  </si>
  <si>
    <t>L42</t>
  </si>
  <si>
    <t>$C$57</t>
  </si>
  <si>
    <t>R57C3</t>
  </si>
  <si>
    <t>C43*(1+$B$14)^C56</t>
  </si>
  <si>
    <t>$D$57</t>
  </si>
  <si>
    <t>R57C4</t>
  </si>
  <si>
    <t>D43*(1+$B$14)^D56</t>
  </si>
  <si>
    <t>$E$57</t>
  </si>
  <si>
    <t>R57C5</t>
  </si>
  <si>
    <t>E43*(1+$B$14)^E56</t>
  </si>
  <si>
    <t>$F$57</t>
  </si>
  <si>
    <t>R57C6</t>
  </si>
  <si>
    <t>F43*(1+$B$14)^F56</t>
  </si>
  <si>
    <t>$G$57</t>
  </si>
  <si>
    <t>R57C7</t>
  </si>
  <si>
    <t>G43*(1+$B$14)^G56</t>
  </si>
  <si>
    <t>$H$57</t>
  </si>
  <si>
    <t>R57C8</t>
  </si>
  <si>
    <t>H43*(1+$B$14)^H56</t>
  </si>
  <si>
    <t>$I$57</t>
  </si>
  <si>
    <t>R57C9</t>
  </si>
  <si>
    <t>I43*(1+$B$14)^I56</t>
  </si>
  <si>
    <t>$J$57</t>
  </si>
  <si>
    <t>R57C10</t>
  </si>
  <si>
    <t>J43*(1+$B$14)^J56</t>
  </si>
  <si>
    <t>$K$57</t>
  </si>
  <si>
    <t>R57C11</t>
  </si>
  <si>
    <t>K43*(1+$B$14)^K56</t>
  </si>
  <si>
    <t>$L$57</t>
  </si>
  <si>
    <t>R57C12</t>
  </si>
  <si>
    <t>L43*(1+$B$14)^L56</t>
  </si>
  <si>
    <t>$B$58</t>
  </si>
  <si>
    <t>R58C2</t>
  </si>
  <si>
    <t>B10*(1-B11)*$B$54</t>
  </si>
  <si>
    <t>$C$58</t>
  </si>
  <si>
    <t>R58C3</t>
  </si>
  <si>
    <t>IF(D560,C57*$B$55,C57*$B$54)</t>
  </si>
  <si>
    <t>$D$58</t>
  </si>
  <si>
    <t>R58C4</t>
  </si>
  <si>
    <t>IF(E560,D57*$B$55,D57*$B$54)</t>
  </si>
  <si>
    <t>$E$58</t>
  </si>
  <si>
    <t>R58C5</t>
  </si>
  <si>
    <t>IF(F560,E57*$B$55,E57*$B$54)</t>
  </si>
  <si>
    <t>$F$58</t>
  </si>
  <si>
    <t>R58C6</t>
  </si>
  <si>
    <t>IF(G560,F57*$B$55,F57*$B$54)</t>
  </si>
  <si>
    <t>$G$58</t>
  </si>
  <si>
    <t>R58C7</t>
  </si>
  <si>
    <t>IF(H560,G57*$B$55,G57*$B$54)</t>
  </si>
  <si>
    <t>$H$58</t>
  </si>
  <si>
    <t>R58C8</t>
  </si>
  <si>
    <t>IF(I560,H57*$B$55,H57*$B$54)</t>
  </si>
  <si>
    <t>$I$58</t>
  </si>
  <si>
    <t>R58C9</t>
  </si>
  <si>
    <t>IF(J560,I57*$B$55,I57*$B$54)</t>
  </si>
  <si>
    <t>$J$58</t>
  </si>
  <si>
    <t>R58C10</t>
  </si>
  <si>
    <t>IF(K560,J57*$B$55,J57*$B$54)</t>
  </si>
  <si>
    <t>$K$58</t>
  </si>
  <si>
    <t>R58C11</t>
  </si>
  <si>
    <t>IF(L560,K57*$B$55,K57*$B$54)</t>
  </si>
  <si>
    <t>$L$58</t>
  </si>
  <si>
    <t>R58C12</t>
  </si>
  <si>
    <t>IF(M560,L57*$B$55,L57*$B$54)</t>
  </si>
  <si>
    <t>$B$59</t>
  </si>
  <si>
    <t>R59C2</t>
  </si>
  <si>
    <t>B57-B58</t>
  </si>
  <si>
    <t>$C$59</t>
  </si>
  <si>
    <t>R59C3</t>
  </si>
  <si>
    <t>C57-C58</t>
  </si>
  <si>
    <t>$D$59</t>
  </si>
  <si>
    <t>R59C4</t>
  </si>
  <si>
    <t>D57-D58</t>
  </si>
  <si>
    <t>$E$59</t>
  </si>
  <si>
    <t>R59C5</t>
  </si>
  <si>
    <t>E57-E58</t>
  </si>
  <si>
    <t>$F$59</t>
  </si>
  <si>
    <t>R59C6</t>
  </si>
  <si>
    <t>F57-F58</t>
  </si>
  <si>
    <t>$G$59</t>
  </si>
  <si>
    <t>R59C7</t>
  </si>
  <si>
    <t>G57-G58</t>
  </si>
  <si>
    <t>$H$59</t>
  </si>
  <si>
    <t>R59C8</t>
  </si>
  <si>
    <t>H57-H58</t>
  </si>
  <si>
    <t>$I$59</t>
  </si>
  <si>
    <t>R59C9</t>
  </si>
  <si>
    <t>I57-I58</t>
  </si>
  <si>
    <t>$J$59</t>
  </si>
  <si>
    <t>R59C10</t>
  </si>
  <si>
    <t>J57-J58</t>
  </si>
  <si>
    <t>$K$59</t>
  </si>
  <si>
    <t>R59C11</t>
  </si>
  <si>
    <t>K57-K58</t>
  </si>
  <si>
    <t>$L$59</t>
  </si>
  <si>
    <t>R59C12</t>
  </si>
  <si>
    <t>L57-L58</t>
  </si>
  <si>
    <t>$B$60</t>
  </si>
  <si>
    <t>R60C2</t>
  </si>
  <si>
    <t>B10*(1-B11)*(1+B14)^B16*(1+B20)</t>
  </si>
  <si>
    <t>$B$61</t>
  </si>
  <si>
    <t>R61C2</t>
  </si>
  <si>
    <t>B60*(1-B55)</t>
  </si>
  <si>
    <t>$B$62</t>
  </si>
  <si>
    <t>R62C2</t>
  </si>
  <si>
    <t>B61/(B19-B20)</t>
  </si>
  <si>
    <t>$B$63</t>
  </si>
  <si>
    <t>R63C2</t>
  </si>
  <si>
    <t>B59+NPV(B19,C59:L59)+B62/(1+B19)^B16</t>
  </si>
  <si>
    <t>$C$63</t>
  </si>
  <si>
    <t>R63C3</t>
  </si>
  <si>
    <t>GROWTH_WORTH_CALC_FUNC(B10,B11,B19,B20,B16,B15,B14)</t>
  </si>
  <si>
    <t>$D$63</t>
  </si>
  <si>
    <t>R63C4</t>
  </si>
  <si>
    <t>B63-C63</t>
  </si>
  <si>
    <t>$B$66</t>
  </si>
  <si>
    <t>R66C2</t>
  </si>
  <si>
    <t>B63-B50</t>
  </si>
  <si>
    <t>x</t>
  </si>
  <si>
    <t xml:space="preserve">  </t>
  </si>
  <si>
    <t>Cost of equity</t>
  </si>
  <si>
    <t>ROE</t>
  </si>
  <si>
    <t>ROIC</t>
  </si>
  <si>
    <t>Net margin</t>
  </si>
  <si>
    <t>Pre-tax operating margin</t>
  </si>
  <si>
    <t>D/E ratio (book)</t>
  </si>
  <si>
    <t>D/E ratio (market)</t>
  </si>
  <si>
    <t xml:space="preserve">Expected growth rate in operating income </t>
  </si>
  <si>
    <t xml:space="preserve">Cash and Marketable Securities </t>
  </si>
  <si>
    <t xml:space="preserve">Revenues </t>
  </si>
  <si>
    <t xml:space="preserve">Operating income EBIT </t>
  </si>
  <si>
    <t>CONTROL</t>
  </si>
  <si>
    <t>ROWS</t>
  </si>
  <si>
    <t>SOLVER</t>
  </si>
  <si>
    <t>Book value of equity - this year</t>
  </si>
  <si>
    <t>Book value of equity - last year</t>
  </si>
  <si>
    <t>Total Debt Outstanding - last year</t>
  </si>
  <si>
    <t>Cash and Marketable Securities - last year</t>
  </si>
  <si>
    <t>Revenues - this year</t>
  </si>
  <si>
    <t>Revenues - last year</t>
  </si>
  <si>
    <t>Operating income EBIT - last year</t>
  </si>
  <si>
    <t>P/E: Total - Actual</t>
  </si>
  <si>
    <t>P/E: Total - Intrinsic</t>
  </si>
  <si>
    <t>P/E: Assets in Place - Actual</t>
  </si>
  <si>
    <t>P/E: Assets in Place - Intrinsic</t>
  </si>
  <si>
    <t>P/E: Growth - Actual</t>
  </si>
  <si>
    <t>P/E: Growth - Intrinsic</t>
  </si>
  <si>
    <t>P/BV: Total - Actual</t>
  </si>
  <si>
    <t>P/BV: Total - Intrinsic</t>
  </si>
  <si>
    <t>P/BV: Assets in Place - Actual</t>
  </si>
  <si>
    <t>P/BV: Assets in Place - Intrinsic</t>
  </si>
  <si>
    <t>P/BV: Growth - Actual</t>
  </si>
  <si>
    <t>P/BV: Growth - Intrinsic</t>
  </si>
  <si>
    <t>EV/Sales: Total - Actual</t>
  </si>
  <si>
    <t>EV/Sales: Total - Intrinsic</t>
  </si>
  <si>
    <t>EV/Sales: Assets in Place - Actual</t>
  </si>
  <si>
    <t>EV/Sales: Assets in Place - Intrinsic</t>
  </si>
  <si>
    <t>EV/Sales: Growth - Actual</t>
  </si>
  <si>
    <t>EV/Sales: Growth - Intrinsic</t>
  </si>
  <si>
    <t>EV/Invested Capital: Total - Actual</t>
  </si>
  <si>
    <t>EV/Invested Capital: Total - Intrinsic</t>
  </si>
  <si>
    <t>EV/Invested Capital: Assets in Place - Actual</t>
  </si>
  <si>
    <t>EV/Invested Capital: Assets in Place - Intrinsic</t>
  </si>
  <si>
    <t>EV/Invested Capital: Growth - Actual</t>
  </si>
  <si>
    <t>EV/Invested Capital: Growth - Intrinsic</t>
  </si>
  <si>
    <t>D</t>
  </si>
  <si>
    <t>P</t>
  </si>
  <si>
    <t>S</t>
  </si>
  <si>
    <t>N</t>
  </si>
  <si>
    <t>Section1</t>
  </si>
  <si>
    <t>Description</t>
  </si>
  <si>
    <t>Understand the model in worksheet "Section1"</t>
  </si>
  <si>
    <t>Step</t>
  </si>
  <si>
    <t>#</t>
  </si>
  <si>
    <t>No Growth Scenario: Formulation for "Value of assets in place".</t>
  </si>
  <si>
    <t>Growth Scenario: Formulation for "Intrinsic enterprise value".</t>
  </si>
  <si>
    <t>For the calculation of "Value of assets in place" refer to cells B23 and B50 in worksheet "Section1". Also take a look at the function GROWTH_WORTH_CALC_FUNC in module "Section1", used in cell C50.</t>
  </si>
  <si>
    <t>For the calculation of "Intrinsic enterprise value" refer to cells B25 and B63 in worksheet "Section1". Also take a look at the function GROWTH_WORTH_CALC_FUNC in module "Section1", used in cell C63.</t>
  </si>
  <si>
    <t>Read the article: http://aswathdamodaran.blogspot.com/2012/05/how-much-is-growth-worth.html. For the list of formulation in the model in worksheet "Section1" take a look at the formulas in worksheet "Section2". Also take alook at the Sub PRINT_FORMULATIONS_IN_WORKSHEET_SECTION1_FUNC() in module "Section2".</t>
  </si>
  <si>
    <t>Formulation for "Value added by future growth" = "Growth Scenario" minus "No Growth Scenario"</t>
  </si>
  <si>
    <t>Nico</t>
  </si>
  <si>
    <t>Damodaran</t>
  </si>
  <si>
    <t>2. Set cell B24 to the value in cell B28 by changing cell B14.</t>
  </si>
  <si>
    <r>
      <t>Click the button "Run Goal Seek" in worksheet "Section1". Same as running the Sub "Run_Goal_Seek" in module "Section_1".  Or manually done by: (1) Open the Goal Seek function in Excel (under Tools); 
(2) Set cell B24 to the value in cell B28 by changing cell B14; (3) You should see the implied growth rate in B14.</t>
    </r>
    <r>
      <rPr>
        <sz val="11"/>
        <color rgb="FFFF0000"/>
        <rFont val="Calibri"/>
        <family val="2"/>
        <scheme val="minor"/>
      </rPr>
      <t/>
    </r>
  </si>
  <si>
    <t>Solve for the implied growth rate "cell B14: Expected growth rate in operating income" in your market value "cell B28: Price you are paying for growth".</t>
  </si>
  <si>
    <t>Worksheet "Section3": Derivation for the implied growth rate "cell B14 in Section1: Expected growth rate in operating income" in your market value "cell B28 in Section1: Price you are paying for growth".</t>
  </si>
  <si>
    <t>For the calculation of "Value added by future growth" refer to cells B24 and B66 in worksheet "Section1". Also take a look at the function GROWTH_WORTH_FORMULA_FUNC in module "Section1", used in cell C66.</t>
  </si>
  <si>
    <t>In Worksheet "Section3" I will increase manually the "Expected growth rate in operating income" in column L until the error in column R is lower or equal to the value in cell F36. Here I had to iterate manually by using the changes in "Expected growth rate in operating income" in column K to find the solution in cell S32. Instead of using this brute force technique I could use the solver function "GROWTH_WORTH_SOLVER_FUNC" in module "Section_3". To compare the speed run the Sub TEST_BRUTE_FORCE_SOLVER_FUNC in module "Section_3". Also refer to cell G37 for the function "GROWTH_WORTH_SOLVER_FUNC" on-site in Excel. The advantage of coding your own solver function vs. "Excel Goal-Seek" is that you can solve multiple problems in Excel "on-site" instead of having to solve one by one with Goal-Seek or Solver. To verify the accuracy (see cell G39) of "GROWTH_WORTH_SOLVER_FUNC" make sure you enter the EBIT_GROWTH_VAL  (see cell G38). This will not trigger the solver routine (Muller's method), but instead use this "Expected growth rate in operating income" to calculate the "Value added by future growth".</t>
  </si>
  <si>
    <t>Worksheet "Section4" to semi-automate the coding of the model in "Section1" with multiple scenarios capability.</t>
  </si>
  <si>
    <t>Follow Steps 1 to 10 in module "Section_4".</t>
  </si>
  <si>
    <t>$C$24</t>
  </si>
  <si>
    <t>R24C3</t>
  </si>
  <si>
    <t>B24-B66</t>
  </si>
  <si>
    <t>$C$66</t>
  </si>
  <si>
    <t>R66C3</t>
  </si>
  <si>
    <t>GROWTH_WORTH_FORMULA_FUNC(B10,B11,B15,B16,B19,B20,B14,0)</t>
  </si>
  <si>
    <t>$E$66</t>
  </si>
  <si>
    <t>R66C5</t>
  </si>
  <si>
    <t>B66-C66</t>
  </si>
  <si>
    <t>$C$67</t>
  </si>
  <si>
    <t>R67C3</t>
  </si>
  <si>
    <t>GROWTH_WORTH_FORMULA_FUNC(B10,B11,B15,B16,B19,B20,B14,1)</t>
  </si>
  <si>
    <t>$E$67</t>
  </si>
  <si>
    <t>R67C5</t>
  </si>
  <si>
    <t>B66-C67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</si>
</sst>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6">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00000"/>
    <numFmt numFmtId="166" formatCode="_(* #,##0.0000_);_(* \(#,##0.0000\);_(* &quot;-&quot;??_);_(@_)"/>
    <numFmt numFmtId="167" formatCode="0.0%"/>
    <numFmt numFmtId="168" formatCode="#,##0.0000"/>
    <numFmt numFmtId="169" formatCode="#,##0.000000"/>
    <numFmt numFmtId="170" formatCode="0.0000%"/>
    <numFmt numFmtId="171" formatCode="0.000000%"/>
    <numFmt numFmtId="172" formatCode="0.000000"/>
    <numFmt numFmtId="173" formatCode="0.00000%"/>
    <numFmt numFmtId="174" formatCode="0.00000000000000"/>
    <numFmt numFmtId="175" formatCode="_(* #,##0.00000000_);_(* \(#,##0.00000000\);_(* &quot;-&quot;??_);_(@_)"/>
  </numFmts>
  <fonts count="30">
    <font>
      <sz val="11"/>
      <color theme="1"/>
      <name val="Calibri"/>
      <family val="2"/>
      <scheme val="minor"/>
    </font>
    <font>
      <sz val="11"/>
      <color theme="1"/>
      <name val="Calibri"/>
      <family val="2"/>
      <scheme val="minor"/>
    </font>
    <font>
      <sz val="12"/>
      <color theme="1"/>
      <name val="Calibri"/>
      <family val="2"/>
      <scheme val="minor"/>
    </font>
    <font>
      <b/>
      <sz val="14"/>
      <color theme="1"/>
      <name val="Calibri"/>
      <family val="2"/>
      <scheme val="minor"/>
    </font>
    <font>
      <b/>
      <i/>
      <sz val="14"/>
      <color theme="1"/>
      <name val="Calibri"/>
      <family val="2"/>
      <scheme val="minor"/>
    </font>
    <font>
      <b/>
      <i/>
      <sz val="12"/>
      <color theme="1"/>
      <name val="Calibri"/>
      <family val="2"/>
      <scheme val="minor"/>
    </font>
    <font>
      <sz val="12"/>
      <color rgb="FF000000"/>
      <name val="Calibri"/>
      <family val="2"/>
      <scheme val="minor"/>
    </font>
    <font>
      <b/>
      <i/>
      <sz val="12"/>
      <color rgb="FF000000"/>
      <name val="Calibri"/>
      <family val="2"/>
      <scheme val="minor"/>
    </font>
    <font>
      <b/>
      <sz val="12"/>
      <color theme="1"/>
      <name val="Calibri"/>
      <family val="2"/>
      <scheme val="minor"/>
    </font>
    <font>
      <i/>
      <sz val="12"/>
      <color theme="1"/>
      <name val="Calibri"/>
      <family val="2"/>
      <scheme val="minor"/>
    </font>
    <font>
      <b/>
      <sz val="9"/>
      <color indexed="81"/>
      <name val="Calibri"/>
      <family val="2"/>
    </font>
    <font>
      <sz val="9"/>
      <color indexed="81"/>
      <name val="Calibri"/>
      <family val="2"/>
    </font>
    <font>
      <sz val="10"/>
      <name val="Geneva"/>
    </font>
    <font>
      <sz val="10"/>
      <name val="Arial"/>
      <family val="2"/>
    </font>
    <font>
      <sz val="12"/>
      <name val="Helv"/>
    </font>
    <font>
      <b/>
      <sz val="14"/>
      <color rgb="FFFF0000"/>
      <name val="Calibri"/>
      <family val="2"/>
      <scheme val="minor"/>
    </font>
    <font>
      <sz val="12"/>
      <color rgb="FFFF0000"/>
      <name val="Calibri"/>
      <family val="2"/>
      <scheme val="minor"/>
    </font>
    <font>
      <sz val="12"/>
      <color rgb="FF0000FF"/>
      <name val="Calibri"/>
      <family val="2"/>
      <scheme val="minor"/>
    </font>
    <font>
      <b/>
      <sz val="12"/>
      <color rgb="FFFF0000"/>
      <name val="Calibri"/>
      <family val="2"/>
      <scheme val="minor"/>
    </font>
    <font>
      <sz val="9"/>
      <color indexed="81"/>
      <name val="Tahoma"/>
      <family val="2"/>
    </font>
    <font>
      <b/>
      <sz val="12"/>
      <color theme="0"/>
      <name val="Calibri"/>
      <family val="2"/>
      <scheme val="minor"/>
    </font>
    <font>
      <sz val="12"/>
      <color rgb="FF0070C0"/>
      <name val="Calibri"/>
      <family val="2"/>
      <scheme val="minor"/>
    </font>
    <font>
      <b/>
      <sz val="10"/>
      <color rgb="FFFF0000"/>
      <name val="Calibri"/>
      <family val="2"/>
    </font>
    <font>
      <sz val="11"/>
      <color rgb="FF000000"/>
      <name val="Calibri"/>
      <family val="2"/>
    </font>
    <font>
      <b/>
      <sz val="9"/>
      <color rgb="FFFF0000"/>
      <name val="Calibri"/>
      <family val="2"/>
    </font>
    <font>
      <b/>
      <sz val="10"/>
      <color rgb="FF99CC00"/>
      <name val="Calibri"/>
      <family val="2"/>
    </font>
    <font>
      <b/>
      <sz val="11"/>
      <color theme="0"/>
      <name val="Calibri"/>
      <family val="2"/>
      <scheme val="minor"/>
    </font>
    <font>
      <sz val="11"/>
      <color rgb="FFFF0000"/>
      <name val="Calibri"/>
      <family val="2"/>
      <scheme val="minor"/>
    </font>
    <font>
      <b/>
      <sz val="11"/>
      <color theme="1"/>
      <name val="Calibri"/>
      <family val="2"/>
      <scheme val="minor"/>
    </font>
    <font>
      <b/>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CCFFCC"/>
        <bgColor rgb="FF000000"/>
      </patternFill>
    </fill>
    <fill>
      <patternFill patternType="solid">
        <fgColor rgb="FFCCFFCC"/>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1"/>
        <bgColor indexed="64"/>
      </patternFill>
    </fill>
  </fills>
  <borders count="26">
    <border>
      <left/>
      <right/>
      <top/>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style="medium">
        <color auto="1"/>
      </bottom>
      <diagonal/>
    </border>
    <border>
      <left/>
      <right/>
      <top style="thin">
        <color auto="1"/>
      </top>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medium">
        <color auto="1"/>
      </bottom>
      <diagonal/>
    </border>
    <border>
      <left style="hair">
        <color auto="1"/>
      </left>
      <right style="hair">
        <color auto="1"/>
      </right>
      <top style="hair">
        <color auto="1"/>
      </top>
      <bottom style="hair">
        <color auto="1"/>
      </bottom>
      <diagonal/>
    </border>
    <border>
      <left/>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s>
  <cellStyleXfs count="13">
    <xf numFmtId="0" fontId="0" fillId="0" borderId="0"/>
    <xf numFmtId="43" fontId="1" fillId="0" borderId="0" applyFont="0" applyFill="0" applyBorder="0" applyAlignment="0" applyProtection="0"/>
    <xf numFmtId="44" fontId="1" fillId="0" borderId="0" applyFont="0" applyFill="0" applyBorder="0" applyAlignment="0" applyProtection="0"/>
    <xf numFmtId="0" fontId="2" fillId="0" borderId="0"/>
    <xf numFmtId="9" fontId="2" fillId="0" borderId="0" applyFont="0" applyFill="0" applyBorder="0" applyAlignment="0" applyProtection="0"/>
    <xf numFmtId="43" fontId="2" fillId="0" borderId="0" applyFont="0" applyFill="0" applyBorder="0" applyAlignment="0" applyProtection="0"/>
    <xf numFmtId="4" fontId="12" fillId="0" borderId="0" applyFont="0" applyFill="0" applyBorder="0" applyAlignment="0" applyProtection="0"/>
    <xf numFmtId="44" fontId="13" fillId="0" borderId="0" applyFont="0" applyFill="0" applyBorder="0" applyAlignment="0" applyProtection="0"/>
    <xf numFmtId="8" fontId="12" fillId="0" borderId="0" applyFont="0" applyFill="0" applyBorder="0" applyAlignment="0" applyProtection="0"/>
    <xf numFmtId="0" fontId="14" fillId="0" borderId="0"/>
    <xf numFmtId="0" fontId="12" fillId="0" borderId="0"/>
    <xf numFmtId="9" fontId="12" fillId="0" borderId="0" applyFont="0" applyFill="0" applyBorder="0" applyAlignment="0" applyProtection="0"/>
    <xf numFmtId="9" fontId="1" fillId="0" borderId="0" applyFont="0" applyFill="0" applyBorder="0" applyAlignment="0" applyProtection="0"/>
  </cellStyleXfs>
  <cellXfs count="150">
    <xf numFmtId="0" fontId="0" fillId="0" borderId="0" xfId="0"/>
    <xf numFmtId="0" fontId="3" fillId="0" borderId="0" xfId="3" quotePrefix="1" applyFont="1"/>
    <xf numFmtId="0" fontId="3" fillId="0" borderId="0" xfId="3" applyFont="1"/>
    <xf numFmtId="0" fontId="4" fillId="0" borderId="0" xfId="3" applyFont="1"/>
    <xf numFmtId="0" fontId="5" fillId="0" borderId="0" xfId="3" applyFont="1"/>
    <xf numFmtId="0" fontId="5" fillId="0" borderId="0" xfId="3" applyFont="1" applyFill="1"/>
    <xf numFmtId="0" fontId="2" fillId="0" borderId="0" xfId="3"/>
    <xf numFmtId="164" fontId="2" fillId="2" borderId="1" xfId="3" applyNumberFormat="1" applyFill="1" applyBorder="1"/>
    <xf numFmtId="0" fontId="5" fillId="0" borderId="2" xfId="3" applyFont="1" applyBorder="1"/>
    <xf numFmtId="0" fontId="2" fillId="0" borderId="3" xfId="3" applyBorder="1"/>
    <xf numFmtId="0" fontId="2" fillId="3" borderId="0" xfId="3" applyFill="1" applyBorder="1"/>
    <xf numFmtId="0" fontId="2" fillId="0" borderId="0" xfId="3" applyAlignment="1">
      <alignment horizontal="center"/>
    </xf>
    <xf numFmtId="0" fontId="6" fillId="0" borderId="4" xfId="3" applyFont="1" applyBorder="1"/>
    <xf numFmtId="10" fontId="6" fillId="4" borderId="5" xfId="3" applyNumberFormat="1" applyFont="1" applyFill="1" applyBorder="1"/>
    <xf numFmtId="0" fontId="2" fillId="0" borderId="0" xfId="3" applyFill="1"/>
    <xf numFmtId="164" fontId="2" fillId="2" borderId="6" xfId="3" applyNumberFormat="1" applyFill="1" applyBorder="1" applyAlignment="1">
      <alignment horizontal="center"/>
    </xf>
    <xf numFmtId="0" fontId="2" fillId="0" borderId="0" xfId="3" quotePrefix="1"/>
    <xf numFmtId="0" fontId="2" fillId="0" borderId="0" xfId="3" applyFont="1"/>
    <xf numFmtId="164" fontId="2" fillId="2" borderId="1" xfId="3" applyNumberFormat="1" applyFont="1" applyFill="1" applyBorder="1"/>
    <xf numFmtId="164" fontId="2" fillId="2" borderId="6" xfId="3" applyNumberFormat="1" applyFont="1" applyFill="1" applyBorder="1" applyAlignment="1">
      <alignment horizontal="center"/>
    </xf>
    <xf numFmtId="0" fontId="6" fillId="0" borderId="4" xfId="3" applyFont="1" applyFill="1" applyBorder="1"/>
    <xf numFmtId="10" fontId="2" fillId="5" borderId="5" xfId="4" applyNumberFormat="1" applyFont="1" applyFill="1" applyBorder="1"/>
    <xf numFmtId="9" fontId="2" fillId="2" borderId="1" xfId="3" applyNumberFormat="1" applyFill="1" applyBorder="1"/>
    <xf numFmtId="0" fontId="6" fillId="0" borderId="7" xfId="3" applyFont="1" applyFill="1" applyBorder="1"/>
    <xf numFmtId="10" fontId="2" fillId="5" borderId="8" xfId="4" applyNumberFormat="1" applyFont="1" applyFill="1" applyBorder="1"/>
    <xf numFmtId="10" fontId="2" fillId="6" borderId="1" xfId="3" applyNumberFormat="1" applyFill="1" applyBorder="1"/>
    <xf numFmtId="0" fontId="7" fillId="0" borderId="0" xfId="3" applyFont="1" applyFill="1" applyBorder="1"/>
    <xf numFmtId="10" fontId="2" fillId="2" borderId="1" xfId="4" applyNumberFormat="1" applyFont="1" applyFill="1" applyBorder="1"/>
    <xf numFmtId="0" fontId="2" fillId="2" borderId="1" xfId="3" applyFill="1" applyBorder="1"/>
    <xf numFmtId="10" fontId="2" fillId="2" borderId="1" xfId="3" applyNumberFormat="1" applyFont="1" applyFill="1" applyBorder="1"/>
    <xf numFmtId="10" fontId="2" fillId="2" borderId="1" xfId="3" applyNumberFormat="1" applyFill="1" applyBorder="1"/>
    <xf numFmtId="0" fontId="8" fillId="0" borderId="0" xfId="3" applyFont="1"/>
    <xf numFmtId="164" fontId="2" fillId="5" borderId="1" xfId="3" applyNumberFormat="1" applyFill="1" applyBorder="1"/>
    <xf numFmtId="165" fontId="2" fillId="0" borderId="0" xfId="3" applyNumberFormat="1"/>
    <xf numFmtId="164" fontId="2" fillId="5" borderId="1" xfId="3" applyNumberFormat="1" applyFont="1" applyFill="1" applyBorder="1"/>
    <xf numFmtId="164" fontId="2" fillId="7" borderId="1" xfId="3" applyNumberFormat="1" applyFill="1" applyBorder="1"/>
    <xf numFmtId="0" fontId="2" fillId="0" borderId="1" xfId="3" applyBorder="1"/>
    <xf numFmtId="0" fontId="2" fillId="0" borderId="0" xfId="3" applyFill="1" applyBorder="1"/>
    <xf numFmtId="10" fontId="2" fillId="5" borderId="1" xfId="4" applyNumberFormat="1" applyFont="1" applyFill="1" applyBorder="1"/>
    <xf numFmtId="0" fontId="2" fillId="0" borderId="1" xfId="3" applyBorder="1" applyAlignment="1">
      <alignment horizontal="center"/>
    </xf>
    <xf numFmtId="2" fontId="2" fillId="5" borderId="1" xfId="3" applyNumberFormat="1" applyFill="1" applyBorder="1" applyAlignment="1">
      <alignment horizontal="center"/>
    </xf>
    <xf numFmtId="0" fontId="9" fillId="0" borderId="0" xfId="3" applyFont="1"/>
    <xf numFmtId="9" fontId="2" fillId="5" borderId="12" xfId="3" applyNumberFormat="1" applyFill="1" applyBorder="1"/>
    <xf numFmtId="0" fontId="8" fillId="0" borderId="1" xfId="3" applyFont="1" applyBorder="1"/>
    <xf numFmtId="0" fontId="2" fillId="5" borderId="13" xfId="3" applyFill="1" applyBorder="1"/>
    <xf numFmtId="0" fontId="2" fillId="5" borderId="1" xfId="3" applyFill="1" applyBorder="1"/>
    <xf numFmtId="164" fontId="2" fillId="0" borderId="1" xfId="3" applyNumberFormat="1" applyBorder="1"/>
    <xf numFmtId="164" fontId="2" fillId="5" borderId="14" xfId="3" applyNumberFormat="1" applyFill="1" applyBorder="1"/>
    <xf numFmtId="164" fontId="2" fillId="0" borderId="0" xfId="3" applyNumberFormat="1"/>
    <xf numFmtId="164" fontId="2" fillId="0" borderId="0" xfId="3" applyNumberFormat="1" applyBorder="1"/>
    <xf numFmtId="10" fontId="2" fillId="5" borderId="16" xfId="3" applyNumberFormat="1" applyFill="1" applyBorder="1"/>
    <xf numFmtId="10" fontId="2" fillId="5" borderId="17" xfId="3" applyNumberFormat="1" applyFill="1" applyBorder="1"/>
    <xf numFmtId="0" fontId="8" fillId="0" borderId="6" xfId="3" applyFont="1" applyBorder="1"/>
    <xf numFmtId="0" fontId="2" fillId="0" borderId="6" xfId="3" applyBorder="1"/>
    <xf numFmtId="166" fontId="0" fillId="0" borderId="0" xfId="5" applyNumberFormat="1" applyFont="1"/>
    <xf numFmtId="4" fontId="2" fillId="0" borderId="0" xfId="3" applyNumberFormat="1"/>
    <xf numFmtId="164" fontId="16" fillId="0" borderId="0" xfId="3" applyNumberFormat="1" applyFont="1"/>
    <xf numFmtId="0" fontId="2" fillId="8" borderId="18" xfId="3" applyFill="1" applyBorder="1" applyAlignment="1">
      <alignment horizontal="center" vertical="center" wrapText="1"/>
    </xf>
    <xf numFmtId="164" fontId="17" fillId="0" borderId="0" xfId="3" applyNumberFormat="1" applyFont="1"/>
    <xf numFmtId="9" fontId="17" fillId="0" borderId="0" xfId="3" applyNumberFormat="1" applyFont="1"/>
    <xf numFmtId="167" fontId="17" fillId="0" borderId="0" xfId="4" applyNumberFormat="1" applyFont="1"/>
    <xf numFmtId="0" fontId="17" fillId="0" borderId="0" xfId="3" applyFont="1"/>
    <xf numFmtId="164" fontId="2" fillId="0" borderId="0" xfId="3" applyNumberFormat="1" applyFont="1" applyFill="1" applyBorder="1" applyAlignment="1">
      <alignment horizontal="right"/>
    </xf>
    <xf numFmtId="170" fontId="0" fillId="7" borderId="0" xfId="4" applyNumberFormat="1" applyFont="1" applyFill="1" applyBorder="1" applyAlignment="1">
      <alignment horizontal="right"/>
    </xf>
    <xf numFmtId="164" fontId="2" fillId="7" borderId="0" xfId="3" applyNumberFormat="1" applyFill="1" applyBorder="1" applyAlignment="1">
      <alignment horizontal="right"/>
    </xf>
    <xf numFmtId="164" fontId="2" fillId="0" borderId="0" xfId="3" applyNumberFormat="1" applyFill="1" applyBorder="1" applyAlignment="1">
      <alignment horizontal="right"/>
    </xf>
    <xf numFmtId="171" fontId="0" fillId="7" borderId="0" xfId="4" applyNumberFormat="1" applyFont="1" applyFill="1" applyBorder="1" applyAlignment="1">
      <alignment horizontal="right"/>
    </xf>
    <xf numFmtId="0" fontId="2" fillId="2" borderId="0" xfId="3" applyFill="1"/>
    <xf numFmtId="0" fontId="2" fillId="8" borderId="19" xfId="3" applyFill="1" applyBorder="1" applyAlignment="1">
      <alignment horizontal="center" vertical="center"/>
    </xf>
    <xf numFmtId="0" fontId="2" fillId="8" borderId="20" xfId="3" applyFill="1" applyBorder="1" applyAlignment="1">
      <alignment horizontal="left" vertical="center"/>
    </xf>
    <xf numFmtId="44" fontId="2" fillId="0" borderId="0" xfId="2" applyNumberFormat="1" applyFont="1"/>
    <xf numFmtId="173" fontId="17" fillId="0" borderId="0" xfId="4" applyNumberFormat="1" applyFont="1"/>
    <xf numFmtId="164" fontId="2" fillId="0" borderId="0" xfId="3" applyNumberFormat="1" applyFont="1"/>
    <xf numFmtId="9" fontId="2" fillId="0" borderId="0" xfId="3" applyNumberFormat="1" applyFont="1"/>
    <xf numFmtId="167" fontId="2" fillId="0" borderId="0" xfId="4" applyNumberFormat="1" applyFont="1"/>
    <xf numFmtId="174" fontId="2" fillId="0" borderId="0" xfId="3" applyNumberFormat="1"/>
    <xf numFmtId="175" fontId="2" fillId="0" borderId="0" xfId="1" applyNumberFormat="1" applyFont="1"/>
    <xf numFmtId="7" fontId="0" fillId="0" borderId="0" xfId="0" applyNumberFormat="1"/>
    <xf numFmtId="0" fontId="2" fillId="8" borderId="0" xfId="3" applyFill="1"/>
    <xf numFmtId="0" fontId="2" fillId="7" borderId="0" xfId="3" applyFill="1"/>
    <xf numFmtId="0" fontId="2" fillId="0" borderId="0" xfId="3" applyAlignment="1">
      <alignment horizontal="right"/>
    </xf>
    <xf numFmtId="0" fontId="2" fillId="8" borderId="0" xfId="3" applyFont="1" applyFill="1"/>
    <xf numFmtId="10" fontId="17" fillId="0" borderId="0" xfId="3" applyNumberFormat="1" applyFont="1"/>
    <xf numFmtId="0" fontId="2" fillId="9" borderId="0" xfId="3" applyFill="1"/>
    <xf numFmtId="10" fontId="6" fillId="0" borderId="0" xfId="3" applyNumberFormat="1" applyFont="1" applyFill="1" applyBorder="1" applyAlignment="1">
      <alignment horizontal="right"/>
    </xf>
    <xf numFmtId="0" fontId="18" fillId="0" borderId="0" xfId="3" quotePrefix="1" applyFont="1"/>
    <xf numFmtId="0" fontId="18" fillId="0" borderId="0" xfId="3" applyFont="1"/>
    <xf numFmtId="0" fontId="2" fillId="8" borderId="0" xfId="3" applyFill="1" applyBorder="1" applyAlignment="1">
      <alignment horizontal="center"/>
    </xf>
    <xf numFmtId="0" fontId="2" fillId="8" borderId="0" xfId="3" applyFill="1" applyBorder="1"/>
    <xf numFmtId="10" fontId="2" fillId="0" borderId="0" xfId="4" applyNumberFormat="1" applyFont="1" applyFill="1" applyBorder="1" applyAlignment="1">
      <alignment horizontal="right"/>
    </xf>
    <xf numFmtId="0" fontId="2" fillId="6" borderId="0" xfId="3" applyFill="1"/>
    <xf numFmtId="167" fontId="0" fillId="0" borderId="0" xfId="4" applyNumberFormat="1" applyFont="1" applyFill="1" applyBorder="1" applyAlignment="1">
      <alignment horizontal="right"/>
    </xf>
    <xf numFmtId="0" fontId="2" fillId="8" borderId="0" xfId="3" applyFont="1" applyFill="1" applyBorder="1"/>
    <xf numFmtId="0" fontId="2" fillId="10" borderId="0" xfId="3" applyFill="1"/>
    <xf numFmtId="0" fontId="2" fillId="11" borderId="0" xfId="3" applyFill="1"/>
    <xf numFmtId="2" fontId="2" fillId="0" borderId="0" xfId="3" applyNumberFormat="1" applyFill="1" applyBorder="1" applyAlignment="1">
      <alignment horizontal="right"/>
    </xf>
    <xf numFmtId="0" fontId="2" fillId="8" borderId="0" xfId="3" applyFill="1" applyAlignment="1">
      <alignment horizontal="center"/>
    </xf>
    <xf numFmtId="0" fontId="20" fillId="12" borderId="18" xfId="3" applyFont="1" applyFill="1" applyBorder="1" applyAlignment="1">
      <alignment horizontal="center"/>
    </xf>
    <xf numFmtId="0" fontId="16" fillId="0" borderId="18" xfId="3" applyFont="1" applyBorder="1"/>
    <xf numFmtId="0" fontId="2" fillId="6" borderId="18" xfId="3" applyNumberFormat="1" applyFont="1" applyFill="1" applyBorder="1" applyAlignment="1">
      <alignment horizontal="center"/>
    </xf>
    <xf numFmtId="0" fontId="21" fillId="0" borderId="18" xfId="3" applyFont="1" applyBorder="1" applyAlignment="1">
      <alignment horizontal="center" vertical="center" wrapText="1"/>
    </xf>
    <xf numFmtId="169" fontId="0" fillId="8" borderId="18" xfId="5" applyNumberFormat="1" applyFont="1" applyFill="1" applyBorder="1"/>
    <xf numFmtId="168" fontId="2" fillId="9" borderId="21" xfId="3" applyNumberFormat="1" applyFill="1" applyBorder="1"/>
    <xf numFmtId="0" fontId="2" fillId="0" borderId="0" xfId="3" applyAlignment="1">
      <alignment horizontal="center" vertical="center" wrapText="1"/>
    </xf>
    <xf numFmtId="10" fontId="17" fillId="2" borderId="0" xfId="3" applyNumberFormat="1" applyFont="1" applyFill="1"/>
    <xf numFmtId="167" fontId="0" fillId="7" borderId="0" xfId="4" applyNumberFormat="1" applyFont="1" applyFill="1" applyBorder="1" applyAlignment="1">
      <alignment horizontal="right"/>
    </xf>
    <xf numFmtId="167" fontId="0" fillId="0" borderId="0" xfId="4" applyNumberFormat="1" applyFont="1"/>
    <xf numFmtId="10" fontId="2" fillId="2" borderId="0" xfId="3" applyNumberFormat="1" applyFont="1" applyFill="1"/>
    <xf numFmtId="10" fontId="2" fillId="0" borderId="0" xfId="3" applyNumberFormat="1" applyFont="1" applyFill="1" applyBorder="1" applyAlignment="1">
      <alignment horizontal="right"/>
    </xf>
    <xf numFmtId="10" fontId="0" fillId="0" borderId="0" xfId="4" applyNumberFormat="1" applyFont="1" applyFill="1" applyBorder="1" applyAlignment="1">
      <alignment horizontal="right"/>
    </xf>
    <xf numFmtId="2" fontId="2" fillId="0" borderId="0" xfId="3" applyNumberFormat="1" applyFont="1" applyFill="1" applyBorder="1" applyAlignment="1">
      <alignment horizontal="right"/>
    </xf>
    <xf numFmtId="169" fontId="0" fillId="0" borderId="0" xfId="5" applyNumberFormat="1" applyFont="1"/>
    <xf numFmtId="169" fontId="0" fillId="7" borderId="0" xfId="5" applyNumberFormat="1" applyFont="1" applyFill="1"/>
    <xf numFmtId="0" fontId="2" fillId="8" borderId="18" xfId="3" applyFill="1" applyBorder="1" applyAlignment="1">
      <alignment horizontal="center" wrapText="1"/>
    </xf>
    <xf numFmtId="0" fontId="2" fillId="0" borderId="0" xfId="3" applyAlignment="1">
      <alignment horizontal="left"/>
    </xf>
    <xf numFmtId="0" fontId="0" fillId="0" borderId="0" xfId="0" applyAlignment="1">
      <alignment horizontal="center"/>
    </xf>
    <xf numFmtId="0" fontId="0" fillId="0" borderId="22" xfId="0" applyBorder="1" applyAlignment="1">
      <alignment vertical="center" wrapText="1"/>
    </xf>
    <xf numFmtId="0" fontId="0" fillId="0" borderId="22" xfId="0" applyBorder="1" applyAlignment="1">
      <alignment horizontal="center" vertical="center" wrapText="1"/>
    </xf>
    <xf numFmtId="0" fontId="26" fillId="12" borderId="1" xfId="0" applyFont="1" applyFill="1" applyBorder="1" applyAlignment="1">
      <alignment horizontal="center" vertical="center" wrapText="1"/>
    </xf>
    <xf numFmtId="0" fontId="0" fillId="0" borderId="18" xfId="0" applyBorder="1" applyAlignment="1">
      <alignment vertical="center" wrapText="1"/>
    </xf>
    <xf numFmtId="0" fontId="28" fillId="7" borderId="18" xfId="0" applyFont="1" applyFill="1" applyBorder="1" applyAlignment="1">
      <alignment horizontal="center" vertical="center" wrapText="1"/>
    </xf>
    <xf numFmtId="0" fontId="0" fillId="0" borderId="0" xfId="0" applyAlignment="1">
      <alignment vertical="center" wrapText="1"/>
    </xf>
    <xf numFmtId="0" fontId="0" fillId="0" borderId="18" xfId="0" applyBorder="1" applyAlignment="1">
      <alignment horizontal="center" vertical="center" wrapText="1"/>
    </xf>
    <xf numFmtId="0" fontId="0" fillId="0" borderId="0" xfId="0" applyAlignment="1">
      <alignment horizontal="center" vertical="center" wrapText="1"/>
    </xf>
    <xf numFmtId="10" fontId="2" fillId="0" borderId="0" xfId="12" applyNumberFormat="1" applyFont="1"/>
    <xf numFmtId="164" fontId="2" fillId="0" borderId="23" xfId="3" applyNumberFormat="1" applyFont="1" applyBorder="1"/>
    <xf numFmtId="164" fontId="2" fillId="0" borderId="24" xfId="3" applyNumberFormat="1" applyFont="1" applyBorder="1"/>
    <xf numFmtId="9" fontId="2" fillId="0" borderId="24" xfId="3" applyNumberFormat="1" applyFont="1" applyBorder="1"/>
    <xf numFmtId="167" fontId="2" fillId="0" borderId="24" xfId="4" applyNumberFormat="1" applyFont="1" applyBorder="1"/>
    <xf numFmtId="0" fontId="2" fillId="0" borderId="24" xfId="3" applyFont="1" applyBorder="1"/>
    <xf numFmtId="164" fontId="2" fillId="0" borderId="24" xfId="3" applyNumberFormat="1" applyFont="1" applyFill="1" applyBorder="1" applyAlignment="1">
      <alignment horizontal="right"/>
    </xf>
    <xf numFmtId="173" fontId="17" fillId="0" borderId="24" xfId="4" applyNumberFormat="1" applyFont="1" applyBorder="1"/>
    <xf numFmtId="170" fontId="0" fillId="7" borderId="24" xfId="4" applyNumberFormat="1" applyFont="1" applyFill="1" applyBorder="1" applyAlignment="1">
      <alignment horizontal="right"/>
    </xf>
    <xf numFmtId="164" fontId="2" fillId="7" borderId="24" xfId="3" applyNumberFormat="1" applyFill="1" applyBorder="1" applyAlignment="1">
      <alignment horizontal="right"/>
    </xf>
    <xf numFmtId="164" fontId="2" fillId="0" borderId="24" xfId="3" applyNumberFormat="1" applyFill="1" applyBorder="1" applyAlignment="1">
      <alignment horizontal="right"/>
    </xf>
    <xf numFmtId="164" fontId="2" fillId="0" borderId="24" xfId="3" applyNumberFormat="1" applyBorder="1"/>
    <xf numFmtId="10" fontId="2" fillId="0" borderId="24" xfId="12" applyNumberFormat="1" applyFont="1" applyBorder="1"/>
    <xf numFmtId="166" fontId="0" fillId="0" borderId="24" xfId="5" applyNumberFormat="1" applyFont="1" applyBorder="1"/>
    <xf numFmtId="0" fontId="2" fillId="2" borderId="24" xfId="3" applyFill="1" applyBorder="1"/>
    <xf numFmtId="0" fontId="2" fillId="0" borderId="24" xfId="3" applyBorder="1"/>
    <xf numFmtId="0" fontId="2" fillId="0" borderId="25" xfId="3" applyBorder="1"/>
    <xf numFmtId="172" fontId="18" fillId="0" borderId="0" xfId="3" applyNumberFormat="1" applyFont="1"/>
    <xf numFmtId="0" fontId="8" fillId="0" borderId="9" xfId="3" applyFont="1" applyBorder="1" applyAlignment="1">
      <alignment horizontal="center"/>
    </xf>
    <xf numFmtId="0" fontId="2" fillId="0" borderId="6" xfId="3" applyBorder="1" applyAlignment="1">
      <alignment horizontal="center"/>
    </xf>
    <xf numFmtId="0" fontId="2" fillId="0" borderId="10" xfId="3" applyBorder="1" applyAlignment="1">
      <alignment horizontal="center"/>
    </xf>
    <xf numFmtId="0" fontId="2" fillId="0" borderId="11" xfId="3" applyBorder="1" applyAlignment="1">
      <alignment horizontal="center"/>
    </xf>
    <xf numFmtId="0" fontId="8" fillId="0" borderId="6" xfId="3" applyFont="1" applyBorder="1" applyAlignment="1">
      <alignment horizontal="center"/>
    </xf>
    <xf numFmtId="0" fontId="8" fillId="0" borderId="10" xfId="3" applyFont="1" applyBorder="1" applyAlignment="1">
      <alignment horizontal="center"/>
    </xf>
    <xf numFmtId="0" fontId="8" fillId="0" borderId="11" xfId="3" applyFont="1" applyBorder="1" applyAlignment="1">
      <alignment horizontal="center"/>
    </xf>
    <xf numFmtId="0" fontId="8" fillId="0" borderId="15" xfId="3" applyFont="1" applyBorder="1" applyAlignment="1">
      <alignment horizontal="center"/>
    </xf>
  </cellXfs>
  <cellStyles count="13">
    <cellStyle name="Comma" xfId="1" builtinId="3"/>
    <cellStyle name="Comma 2" xfId="5"/>
    <cellStyle name="Comma 3" xfId="6"/>
    <cellStyle name="Currency" xfId="2" builtinId="4"/>
    <cellStyle name="Currency 2" xfId="7"/>
    <cellStyle name="Currency 3" xfId="8"/>
    <cellStyle name="Normal" xfId="0" builtinId="0"/>
    <cellStyle name="Normal 2" xfId="3"/>
    <cellStyle name="Normal 3" xfId="9"/>
    <cellStyle name="Normal 4" xfId="10"/>
    <cellStyle name="Percent" xfId="12" builtinId="5"/>
    <cellStyle name="Percent 2" xfId="4"/>
    <cellStyle name="Percent 3" xfId="1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600075</xdr:colOff>
      <xdr:row>18</xdr:row>
      <xdr:rowOff>152400</xdr:rowOff>
    </xdr:from>
    <xdr:to>
      <xdr:col>7</xdr:col>
      <xdr:colOff>247650</xdr:colOff>
      <xdr:row>28</xdr:row>
      <xdr:rowOff>38100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43875" y="3810000"/>
          <a:ext cx="2028825" cy="1885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28575</xdr:colOff>
          <xdr:row>17</xdr:row>
          <xdr:rowOff>38100</xdr:rowOff>
        </xdr:from>
        <xdr:to>
          <xdr:col>4</xdr:col>
          <xdr:colOff>47625</xdr:colOff>
          <xdr:row>18</xdr:row>
          <xdr:rowOff>142875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Run Goal Seek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180975</xdr:colOff>
          <xdr:row>0</xdr:row>
          <xdr:rowOff>28575</xdr:rowOff>
        </xdr:from>
        <xdr:to>
          <xdr:col>8</xdr:col>
          <xdr:colOff>571500</xdr:colOff>
          <xdr:row>1</xdr:row>
          <xdr:rowOff>161925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1" i="0" u="none" strike="noStrike" baseline="0">
                  <a:solidFill>
                    <a:srgbClr val="FF0000"/>
                  </a:solidFill>
                  <a:latin typeface="Calibri"/>
                  <a:cs typeface="Calibri"/>
                </a:rPr>
                <a:t>PRINT FORMULAS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76200</xdr:rowOff>
        </xdr:from>
        <xdr:to>
          <xdr:col>0</xdr:col>
          <xdr:colOff>1114425</xdr:colOff>
          <xdr:row>0</xdr:row>
          <xdr:rowOff>409575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1" i="0" u="none" strike="noStrike" baseline="0">
                  <a:solidFill>
                    <a:srgbClr val="99CC00"/>
                  </a:solidFill>
                  <a:latin typeface="Calibri"/>
                  <a:cs typeface="Calibri"/>
                </a:rPr>
                <a:t>CREATE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0</xdr:row>
          <xdr:rowOff>76200</xdr:rowOff>
        </xdr:from>
        <xdr:to>
          <xdr:col>1</xdr:col>
          <xdr:colOff>1114425</xdr:colOff>
          <xdr:row>0</xdr:row>
          <xdr:rowOff>409575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900" b="1" i="0" u="none" strike="noStrike" baseline="0">
                  <a:solidFill>
                    <a:srgbClr val="FF0000"/>
                  </a:solidFill>
                  <a:latin typeface="Calibri"/>
                  <a:cs typeface="Calibri"/>
                </a:rPr>
                <a:t>REMOVE REPORTS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3.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B2:D9"/>
  <sheetViews>
    <sheetView showGridLines="0" workbookViewId="0">
      <selection activeCell="E5" sqref="E5"/>
    </sheetView>
  </sheetViews>
  <sheetFormatPr defaultColWidth="9.1328125" defaultRowHeight="14.25"/>
  <cols>
    <col min="1" max="1" width="3.73046875" style="121" customWidth="1"/>
    <col min="2" max="2" width="2" style="123" bestFit="1" customWidth="1"/>
    <col min="3" max="3" width="30.73046875" style="121" customWidth="1"/>
    <col min="4" max="4" width="90.73046875" style="121" customWidth="1"/>
    <col min="5" max="16384" width="9.1328125" style="121"/>
  </cols>
  <sheetData>
    <row r="2" spans="2:4">
      <c r="B2" s="120" t="s">
        <v>559</v>
      </c>
      <c r="C2" s="120" t="s">
        <v>558</v>
      </c>
      <c r="D2" s="120" t="s">
        <v>556</v>
      </c>
    </row>
    <row r="3" spans="2:4" ht="42.75">
      <c r="B3" s="122">
        <v>1</v>
      </c>
      <c r="C3" s="119" t="s">
        <v>557</v>
      </c>
      <c r="D3" s="119" t="s">
        <v>564</v>
      </c>
    </row>
    <row r="4" spans="2:4" ht="28.5">
      <c r="B4" s="117">
        <v>2</v>
      </c>
      <c r="C4" s="116" t="s">
        <v>560</v>
      </c>
      <c r="D4" s="116" t="s">
        <v>562</v>
      </c>
    </row>
    <row r="5" spans="2:4" ht="28.5">
      <c r="B5" s="117">
        <v>3</v>
      </c>
      <c r="C5" s="116" t="s">
        <v>561</v>
      </c>
      <c r="D5" s="116" t="s">
        <v>563</v>
      </c>
    </row>
    <row r="6" spans="2:4" ht="42.75">
      <c r="B6" s="117">
        <v>4</v>
      </c>
      <c r="C6" s="116" t="s">
        <v>565</v>
      </c>
      <c r="D6" s="116" t="s">
        <v>572</v>
      </c>
    </row>
    <row r="7" spans="2:4" ht="71.25">
      <c r="B7" s="122">
        <v>5</v>
      </c>
      <c r="C7" s="119" t="s">
        <v>570</v>
      </c>
      <c r="D7" s="119" t="s">
        <v>569</v>
      </c>
    </row>
    <row r="8" spans="2:4" ht="156.75">
      <c r="B8" s="122">
        <v>6</v>
      </c>
      <c r="C8" s="119" t="s">
        <v>571</v>
      </c>
      <c r="D8" s="119" t="s">
        <v>573</v>
      </c>
    </row>
    <row r="9" spans="2:4" ht="57">
      <c r="B9" s="122">
        <v>7</v>
      </c>
      <c r="C9" s="119" t="s">
        <v>574</v>
      </c>
      <c r="D9" s="119" t="s">
        <v>575</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L67"/>
  <sheetViews>
    <sheetView zoomScale="80" zoomScaleNormal="80" workbookViewId="0">
      <selection activeCell="C63" sqref="C63"/>
    </sheetView>
  </sheetViews>
  <sheetFormatPr defaultColWidth="17.86328125" defaultRowHeight="15.75"/>
  <cols>
    <col min="1" max="1" width="41.73046875" style="6" bestFit="1" customWidth="1"/>
    <col min="2" max="16384" width="17.86328125" style="6"/>
  </cols>
  <sheetData>
    <row r="1" spans="1:8" s="2" customFormat="1" ht="18">
      <c r="A1" s="1" t="s">
        <v>74</v>
      </c>
      <c r="C1" s="3"/>
    </row>
    <row r="2" spans="1:8" s="4" customFormat="1" ht="16.149999999999999" thickBot="1">
      <c r="A2" s="4" t="s">
        <v>0</v>
      </c>
      <c r="F2" s="5"/>
    </row>
    <row r="3" spans="1:8">
      <c r="A3" s="6" t="s">
        <v>1</v>
      </c>
      <c r="B3" s="7">
        <v>70000</v>
      </c>
      <c r="D3" s="8" t="s">
        <v>2</v>
      </c>
      <c r="E3" s="9"/>
    </row>
    <row r="4" spans="1:8">
      <c r="A4" s="4" t="s">
        <v>3</v>
      </c>
      <c r="B4" s="10" t="s">
        <v>4</v>
      </c>
      <c r="C4" s="11" t="s">
        <v>5</v>
      </c>
      <c r="D4" s="12" t="s">
        <v>6</v>
      </c>
      <c r="E4" s="13">
        <f>B12/C5</f>
        <v>0.21624219125420471</v>
      </c>
      <c r="F4" s="14"/>
    </row>
    <row r="5" spans="1:8">
      <c r="A5" s="6" t="s">
        <v>7</v>
      </c>
      <c r="B5" s="7">
        <v>5228</v>
      </c>
      <c r="C5" s="15">
        <v>4162</v>
      </c>
      <c r="D5" s="12" t="s">
        <v>8</v>
      </c>
      <c r="E5" s="13">
        <f>B10*(1-B11)/(C5+C6-C7)</f>
        <v>0.27531131564699513</v>
      </c>
    </row>
    <row r="6" spans="1:8">
      <c r="A6" s="6" t="s">
        <v>9</v>
      </c>
      <c r="B6" s="7">
        <v>1215</v>
      </c>
      <c r="C6" s="15">
        <v>1317</v>
      </c>
      <c r="D6" s="12" t="s">
        <v>10</v>
      </c>
      <c r="E6" s="13">
        <f>B12/B9</f>
        <v>0.24252223120452709</v>
      </c>
    </row>
    <row r="7" spans="1:8">
      <c r="A7" s="6" t="s">
        <v>11</v>
      </c>
      <c r="B7" s="7">
        <v>1512</v>
      </c>
      <c r="C7" s="15">
        <v>1785</v>
      </c>
      <c r="D7" s="12" t="s">
        <v>12</v>
      </c>
      <c r="E7" s="13">
        <f>B10*(1-B11)/B9</f>
        <v>0.27405012126111561</v>
      </c>
      <c r="H7" s="16"/>
    </row>
    <row r="8" spans="1:8" s="4" customFormat="1">
      <c r="A8" s="4" t="s">
        <v>13</v>
      </c>
      <c r="D8" s="12" t="s">
        <v>14</v>
      </c>
      <c r="E8" s="13">
        <f>B6/B5</f>
        <v>0.23240244835501148</v>
      </c>
    </row>
    <row r="9" spans="1:8" s="17" customFormat="1">
      <c r="A9" s="17" t="s">
        <v>15</v>
      </c>
      <c r="B9" s="18">
        <v>3711</v>
      </c>
      <c r="C9" s="19">
        <v>1974</v>
      </c>
      <c r="D9" s="12" t="s">
        <v>16</v>
      </c>
      <c r="E9" s="13">
        <f>B6/B3</f>
        <v>1.7357142857142856E-2</v>
      </c>
    </row>
    <row r="10" spans="1:8">
      <c r="A10" s="6" t="s">
        <v>17</v>
      </c>
      <c r="B10" s="7">
        <v>1695</v>
      </c>
      <c r="C10" s="19">
        <v>1032</v>
      </c>
      <c r="D10" s="20" t="s">
        <v>18</v>
      </c>
      <c r="E10" s="21">
        <f>B9/C9-1</f>
        <v>0.87993920972644379</v>
      </c>
    </row>
    <row r="11" spans="1:8" ht="16.149999999999999" thickBot="1">
      <c r="A11" s="6" t="s">
        <v>19</v>
      </c>
      <c r="B11" s="22">
        <v>0.4</v>
      </c>
      <c r="D11" s="23" t="s">
        <v>20</v>
      </c>
      <c r="E11" s="24">
        <f>(B10/C10)-1</f>
        <v>0.64244186046511631</v>
      </c>
    </row>
    <row r="12" spans="1:8">
      <c r="A12" s="6" t="s">
        <v>21</v>
      </c>
      <c r="B12" s="7">
        <v>900</v>
      </c>
    </row>
    <row r="13" spans="1:8" s="4" customFormat="1">
      <c r="A13" s="4" t="s">
        <v>22</v>
      </c>
      <c r="D13" s="6"/>
      <c r="E13" s="6"/>
    </row>
    <row r="14" spans="1:8">
      <c r="A14" s="6" t="s">
        <v>23</v>
      </c>
      <c r="B14" s="25">
        <v>0.37674438451042502</v>
      </c>
      <c r="D14" s="26" t="s">
        <v>24</v>
      </c>
    </row>
    <row r="15" spans="1:8">
      <c r="A15" s="6" t="s">
        <v>25</v>
      </c>
      <c r="B15" s="27">
        <f>E5</f>
        <v>0.27531131564699513</v>
      </c>
      <c r="D15" s="17" t="s">
        <v>26</v>
      </c>
      <c r="E15" s="4"/>
    </row>
    <row r="16" spans="1:8">
      <c r="A16" s="6" t="s">
        <v>27</v>
      </c>
      <c r="B16" s="28">
        <v>10</v>
      </c>
      <c r="D16" s="6" t="s">
        <v>568</v>
      </c>
    </row>
    <row r="17" spans="1:7" s="4" customFormat="1">
      <c r="A17" s="4" t="s">
        <v>28</v>
      </c>
      <c r="D17" s="6" t="s">
        <v>30</v>
      </c>
      <c r="E17" s="6"/>
    </row>
    <row r="18" spans="1:7" s="4" customFormat="1">
      <c r="A18" s="17" t="s">
        <v>29</v>
      </c>
      <c r="B18" s="29">
        <v>0.125</v>
      </c>
      <c r="E18" s="6"/>
    </row>
    <row r="19" spans="1:7">
      <c r="A19" s="6" t="s">
        <v>31</v>
      </c>
      <c r="B19" s="30">
        <v>0.1142</v>
      </c>
      <c r="D19" s="4"/>
      <c r="E19" s="4"/>
    </row>
    <row r="20" spans="1:7">
      <c r="A20" s="6" t="s">
        <v>32</v>
      </c>
      <c r="B20" s="30">
        <v>0.02</v>
      </c>
      <c r="D20" s="4"/>
      <c r="E20" s="4"/>
    </row>
    <row r="21" spans="1:7">
      <c r="D21" s="4"/>
      <c r="E21" s="4"/>
    </row>
    <row r="22" spans="1:7">
      <c r="A22" s="31" t="s">
        <v>33</v>
      </c>
      <c r="D22" s="4" t="s">
        <v>34</v>
      </c>
      <c r="E22" s="4"/>
    </row>
    <row r="23" spans="1:7">
      <c r="A23" s="6" t="s">
        <v>35</v>
      </c>
      <c r="B23" s="32">
        <f>B10*(1-B11)/B19</f>
        <v>8905.4290718038537</v>
      </c>
      <c r="C23" s="33">
        <f>B23-B50</f>
        <v>0</v>
      </c>
      <c r="D23" s="17" t="s">
        <v>36</v>
      </c>
      <c r="E23" s="34">
        <f>B3</f>
        <v>70000</v>
      </c>
    </row>
    <row r="24" spans="1:7">
      <c r="A24" s="6" t="s">
        <v>37</v>
      </c>
      <c r="B24" s="35">
        <f>IF(B14=B19,-B10*(1-B11)*(B14/B15)+B10*(1-B11)*(1-B14/B15)*(B16-1)+B10*(1-B11)*(1+B14)^B16*(1-B20/B19)/(1+B19)^B16+(B10*(1-B11)*(1+B14)^B16*(1+B20)*(1-B20/B19)/(B19-B20))/(1+B19)^B16-B23,-B10*(1-B11)*(B14/B15)+B10*(1-B11)*(1-B14/B15)*(1+B14)*(1-(1+B14)^(B16-1)/(1+B19)^(B16-1))/(B19-B14)+B10*(1-B11)*(1+B14)^B16*(1-B20/B19)/(1+B19)^B16+(B10*(1-B11)*(1+B14)^B16*(1+B20)*(1-B20/B19)/(B19-B20))/(1+B19)^B16-B23)</f>
        <v>60797.569848663872</v>
      </c>
      <c r="C24" s="33">
        <f>B24-B66</f>
        <v>0</v>
      </c>
      <c r="D24" s="17" t="s">
        <v>38</v>
      </c>
      <c r="E24" s="34">
        <f>B3+B6-B7</f>
        <v>69703</v>
      </c>
    </row>
    <row r="25" spans="1:7">
      <c r="A25" s="6" t="s">
        <v>39</v>
      </c>
      <c r="B25" s="32">
        <f>B23+B24</f>
        <v>69702.998920467726</v>
      </c>
      <c r="C25" s="33">
        <f>B25-B63</f>
        <v>0</v>
      </c>
    </row>
    <row r="26" spans="1:7">
      <c r="A26" s="6" t="s">
        <v>40</v>
      </c>
      <c r="B26" s="32">
        <f>B25-B6+B7</f>
        <v>69999.998920467726</v>
      </c>
    </row>
    <row r="27" spans="1:7">
      <c r="A27" s="31" t="s">
        <v>41</v>
      </c>
      <c r="C27" s="31"/>
      <c r="D27" s="31"/>
    </row>
    <row r="28" spans="1:7">
      <c r="A28" s="36" t="s">
        <v>42</v>
      </c>
      <c r="B28" s="35">
        <f>(B3+B6-B7-B23)</f>
        <v>60797.570928196146</v>
      </c>
    </row>
    <row r="29" spans="1:7">
      <c r="A29" s="36" t="s">
        <v>43</v>
      </c>
      <c r="B29" s="32">
        <f>B24</f>
        <v>60797.569848663872</v>
      </c>
      <c r="C29" s="33">
        <f>B28-B29</f>
        <v>1.0795322741614655E-3</v>
      </c>
    </row>
    <row r="30" spans="1:7">
      <c r="A30" s="37" t="s">
        <v>44</v>
      </c>
      <c r="B30" s="38">
        <f>IF(B29=0,0,B28/B29)</f>
        <v>1.0000000177561748</v>
      </c>
    </row>
    <row r="31" spans="1:7">
      <c r="B31" s="142" t="s">
        <v>45</v>
      </c>
      <c r="C31" s="142"/>
      <c r="D31" s="142"/>
      <c r="E31" s="142"/>
      <c r="F31" s="142"/>
      <c r="G31" s="142"/>
    </row>
    <row r="32" spans="1:7">
      <c r="A32" s="31"/>
      <c r="B32" s="143" t="s">
        <v>46</v>
      </c>
      <c r="C32" s="144"/>
      <c r="D32" s="145"/>
      <c r="E32" s="143" t="s">
        <v>47</v>
      </c>
      <c r="F32" s="144"/>
      <c r="G32" s="145"/>
    </row>
    <row r="33" spans="1:12">
      <c r="A33" s="36"/>
      <c r="B33" s="39" t="s">
        <v>48</v>
      </c>
      <c r="C33" s="39" t="s">
        <v>49</v>
      </c>
      <c r="D33" s="39" t="s">
        <v>50</v>
      </c>
      <c r="E33" s="39" t="s">
        <v>48</v>
      </c>
      <c r="F33" s="39" t="s">
        <v>51</v>
      </c>
      <c r="G33" s="39" t="s">
        <v>50</v>
      </c>
    </row>
    <row r="34" spans="1:12">
      <c r="A34" s="36" t="s">
        <v>52</v>
      </c>
      <c r="B34" s="40">
        <f>B3/B12</f>
        <v>77.777777777777771</v>
      </c>
      <c r="C34" s="40">
        <f>(B23-B6+B7)/B12</f>
        <v>10.224921190893172</v>
      </c>
      <c r="D34" s="40">
        <f>B34-C34</f>
        <v>67.552856586884602</v>
      </c>
      <c r="E34" s="40">
        <f>(B24+B23-B6+B7)/B12</f>
        <v>77.777776578297477</v>
      </c>
      <c r="F34" s="40">
        <f>C34</f>
        <v>10.224921190893172</v>
      </c>
      <c r="G34" s="40">
        <f>E34-F34</f>
        <v>67.552855387404307</v>
      </c>
    </row>
    <row r="35" spans="1:12">
      <c r="A35" s="36" t="s">
        <v>53</v>
      </c>
      <c r="B35" s="40">
        <f>B3/B5</f>
        <v>13.389441469013008</v>
      </c>
      <c r="C35" s="40">
        <f>(B23-B6+B7)/B5</f>
        <v>1.7602197918523057</v>
      </c>
      <c r="D35" s="40">
        <f>B35-C35</f>
        <v>11.629221677160702</v>
      </c>
      <c r="E35" s="40">
        <f>(B24+B23-B6+B7)/B5</f>
        <v>13.389441262522519</v>
      </c>
      <c r="F35" s="40">
        <f>C35</f>
        <v>1.7602197918523057</v>
      </c>
      <c r="G35" s="40">
        <f>E35-F35</f>
        <v>11.629221470670213</v>
      </c>
    </row>
    <row r="36" spans="1:12">
      <c r="A36" s="36" t="s">
        <v>54</v>
      </c>
      <c r="B36" s="40">
        <f>B3/B9</f>
        <v>18.862840204796552</v>
      </c>
      <c r="C36" s="40">
        <f>B23/B9</f>
        <v>2.3997383648083681</v>
      </c>
      <c r="D36" s="40">
        <f>B36-C36</f>
        <v>16.463101839988184</v>
      </c>
      <c r="E36" s="40">
        <f>(B24+B23)/B9</f>
        <v>18.782807577598415</v>
      </c>
      <c r="F36" s="40">
        <f>C36</f>
        <v>2.3997383648083681</v>
      </c>
      <c r="G36" s="40">
        <f>E36-F36</f>
        <v>16.383069212790048</v>
      </c>
    </row>
    <row r="37" spans="1:12">
      <c r="A37" s="36" t="s">
        <v>55</v>
      </c>
      <c r="B37" s="40">
        <f>B3/(B5+B6-B7)</f>
        <v>14.195903467856418</v>
      </c>
      <c r="C37" s="40">
        <f>B23/(B5+B6-B7)</f>
        <v>1.8060087349024243</v>
      </c>
      <c r="D37" s="40">
        <f>B37-C37</f>
        <v>12.389894732953994</v>
      </c>
      <c r="E37" s="40">
        <f>(B24+B23)/(B5+B6-B7)</f>
        <v>14.135672058500857</v>
      </c>
      <c r="F37" s="40">
        <f>C37</f>
        <v>1.8060087349024243</v>
      </c>
      <c r="G37" s="40">
        <f>E37-F37</f>
        <v>12.329663323598433</v>
      </c>
    </row>
    <row r="39" spans="1:12">
      <c r="A39" s="41" t="s">
        <v>95</v>
      </c>
    </row>
    <row r="40" spans="1:12" ht="16.149999999999999" thickBot="1">
      <c r="A40" s="146" t="s">
        <v>56</v>
      </c>
      <c r="B40" s="147"/>
      <c r="C40" s="147"/>
      <c r="D40" s="147"/>
      <c r="E40" s="147"/>
      <c r="F40" s="147"/>
      <c r="G40" s="147"/>
      <c r="H40" s="147"/>
      <c r="I40" s="147"/>
      <c r="J40" s="147"/>
      <c r="K40" s="147"/>
      <c r="L40" s="148"/>
    </row>
    <row r="41" spans="1:12" ht="16.149999999999999" thickBot="1">
      <c r="A41" s="6" t="s">
        <v>57</v>
      </c>
      <c r="B41" s="42">
        <v>0</v>
      </c>
    </row>
    <row r="42" spans="1:12">
      <c r="A42" s="43"/>
      <c r="B42" s="44">
        <v>0</v>
      </c>
      <c r="C42" s="45">
        <f>IF(B16&lt;1,,1)</f>
        <v>1</v>
      </c>
      <c r="D42" s="45">
        <f>IF(B16&lt;2,,2)</f>
        <v>2</v>
      </c>
      <c r="E42" s="45">
        <f>IF(B16&lt;3,,3)</f>
        <v>3</v>
      </c>
      <c r="F42" s="45">
        <f>IF(B16&lt;4,,4)</f>
        <v>4</v>
      </c>
      <c r="G42" s="45">
        <f>IF(B16&lt;5,,5)</f>
        <v>5</v>
      </c>
      <c r="H42" s="45">
        <f>IF(B16&lt;6,,6)</f>
        <v>6</v>
      </c>
      <c r="I42" s="45">
        <f>IF(B16&lt;7,,7)</f>
        <v>7</v>
      </c>
      <c r="J42" s="45">
        <f>IF(B16&lt;8,,8)</f>
        <v>8</v>
      </c>
      <c r="K42" s="45">
        <f>IF(B16&lt;9,,9)</f>
        <v>9</v>
      </c>
      <c r="L42" s="45">
        <f>IF(B16&lt;10,,10)</f>
        <v>10</v>
      </c>
    </row>
    <row r="43" spans="1:12">
      <c r="A43" s="36" t="s">
        <v>58</v>
      </c>
      <c r="B43" s="32"/>
      <c r="C43" s="32">
        <f>IF(C42&gt;0,$B$10*(1-$B$11),)</f>
        <v>1017</v>
      </c>
      <c r="D43" s="32">
        <f t="shared" ref="D43:L43" si="0">IF(D42&gt;0,$B$10*(1-$B$11),)</f>
        <v>1017</v>
      </c>
      <c r="E43" s="32">
        <f t="shared" si="0"/>
        <v>1017</v>
      </c>
      <c r="F43" s="32">
        <f t="shared" si="0"/>
        <v>1017</v>
      </c>
      <c r="G43" s="32">
        <f t="shared" si="0"/>
        <v>1017</v>
      </c>
      <c r="H43" s="32">
        <f t="shared" si="0"/>
        <v>1017</v>
      </c>
      <c r="I43" s="32">
        <f t="shared" si="0"/>
        <v>1017</v>
      </c>
      <c r="J43" s="32">
        <f t="shared" si="0"/>
        <v>1017</v>
      </c>
      <c r="K43" s="32">
        <f t="shared" si="0"/>
        <v>1017</v>
      </c>
      <c r="L43" s="32">
        <f t="shared" si="0"/>
        <v>1017</v>
      </c>
    </row>
    <row r="44" spans="1:12">
      <c r="A44" s="36" t="s">
        <v>59</v>
      </c>
      <c r="B44" s="32"/>
      <c r="C44" s="32">
        <v>0</v>
      </c>
      <c r="D44" s="32">
        <v>0</v>
      </c>
      <c r="E44" s="32">
        <v>0</v>
      </c>
      <c r="F44" s="32">
        <v>0</v>
      </c>
      <c r="G44" s="32">
        <v>0</v>
      </c>
      <c r="H44" s="32">
        <v>0</v>
      </c>
      <c r="I44" s="32">
        <v>0</v>
      </c>
      <c r="J44" s="32">
        <v>0</v>
      </c>
      <c r="K44" s="32">
        <v>0</v>
      </c>
      <c r="L44" s="32">
        <v>0</v>
      </c>
    </row>
    <row r="45" spans="1:12">
      <c r="A45" s="36" t="s">
        <v>60</v>
      </c>
      <c r="B45" s="32"/>
      <c r="C45" s="32">
        <f>C43-C44</f>
        <v>1017</v>
      </c>
      <c r="D45" s="32">
        <f t="shared" ref="D45:L45" si="1">D43-D44</f>
        <v>1017</v>
      </c>
      <c r="E45" s="32">
        <f t="shared" si="1"/>
        <v>1017</v>
      </c>
      <c r="F45" s="32">
        <f t="shared" si="1"/>
        <v>1017</v>
      </c>
      <c r="G45" s="32">
        <f t="shared" si="1"/>
        <v>1017</v>
      </c>
      <c r="H45" s="32">
        <f t="shared" si="1"/>
        <v>1017</v>
      </c>
      <c r="I45" s="32">
        <f t="shared" si="1"/>
        <v>1017</v>
      </c>
      <c r="J45" s="32">
        <f t="shared" si="1"/>
        <v>1017</v>
      </c>
      <c r="K45" s="32">
        <f t="shared" si="1"/>
        <v>1017</v>
      </c>
      <c r="L45" s="32">
        <f t="shared" si="1"/>
        <v>1017</v>
      </c>
    </row>
    <row r="46" spans="1:12">
      <c r="A46" s="36" t="s">
        <v>61</v>
      </c>
      <c r="B46" s="32">
        <f>B10*(1-B11)</f>
        <v>1017</v>
      </c>
      <c r="C46" s="46"/>
      <c r="D46" s="46"/>
      <c r="E46" s="46"/>
      <c r="F46" s="46"/>
      <c r="G46" s="46"/>
      <c r="H46" s="46"/>
      <c r="I46" s="46"/>
      <c r="J46" s="46"/>
      <c r="K46" s="46"/>
      <c r="L46" s="46"/>
    </row>
    <row r="47" spans="1:12">
      <c r="A47" s="36" t="s">
        <v>62</v>
      </c>
      <c r="B47" s="32">
        <v>0</v>
      </c>
      <c r="C47" s="46"/>
      <c r="D47" s="46"/>
      <c r="E47" s="46"/>
      <c r="F47" s="46"/>
      <c r="G47" s="46"/>
      <c r="H47" s="46"/>
      <c r="I47" s="46"/>
      <c r="J47" s="46"/>
      <c r="K47" s="46"/>
      <c r="L47" s="46"/>
    </row>
    <row r="48" spans="1:12">
      <c r="A48" s="36" t="s">
        <v>63</v>
      </c>
      <c r="B48" s="32">
        <f>B46-B47</f>
        <v>1017</v>
      </c>
      <c r="C48" s="46"/>
      <c r="D48" s="46"/>
      <c r="E48" s="46"/>
      <c r="F48" s="46"/>
      <c r="G48" s="46"/>
      <c r="H48" s="46"/>
      <c r="I48" s="46"/>
      <c r="J48" s="46"/>
      <c r="K48" s="46"/>
      <c r="L48" s="46"/>
    </row>
    <row r="49" spans="1:12">
      <c r="A49" s="36" t="s">
        <v>64</v>
      </c>
      <c r="B49" s="32">
        <f>B48/B19</f>
        <v>8905.4290718038537</v>
      </c>
      <c r="C49" s="46"/>
      <c r="D49" s="46"/>
      <c r="E49" s="46"/>
      <c r="F49" s="46"/>
      <c r="G49" s="46"/>
      <c r="H49" s="46"/>
      <c r="I49" s="46"/>
      <c r="J49" s="46"/>
      <c r="K49" s="46"/>
      <c r="L49" s="46"/>
    </row>
    <row r="50" spans="1:12" ht="16.149999999999999" thickBot="1">
      <c r="A50" s="6" t="s">
        <v>65</v>
      </c>
      <c r="B50" s="47">
        <f>NPV(B19,C45:L45)+B49/(1+B19)^B16</f>
        <v>8905.4290718038501</v>
      </c>
      <c r="C50" s="56">
        <f>GROWTH_WORTH_CALC_FUNC(B10,B11,B19,B20,B16,B15,0)</f>
        <v>8905.4290718038483</v>
      </c>
      <c r="D50" s="33">
        <f>B50-C50</f>
        <v>0</v>
      </c>
      <c r="E50" s="48"/>
      <c r="F50" s="48"/>
      <c r="G50" s="48"/>
      <c r="H50" s="48"/>
      <c r="I50" s="48"/>
      <c r="J50" s="48"/>
      <c r="K50" s="48"/>
      <c r="L50" s="48"/>
    </row>
    <row r="51" spans="1:12">
      <c r="B51" s="49"/>
      <c r="C51" s="48"/>
      <c r="D51" s="48"/>
      <c r="E51" s="48"/>
      <c r="F51" s="48"/>
      <c r="G51" s="48"/>
      <c r="H51" s="48"/>
      <c r="I51" s="48"/>
      <c r="J51" s="48"/>
      <c r="K51" s="48"/>
      <c r="L51" s="48"/>
    </row>
    <row r="52" spans="1:12">
      <c r="B52" s="49"/>
      <c r="C52" s="48"/>
      <c r="D52" s="48"/>
      <c r="E52" s="48"/>
      <c r="F52" s="48"/>
      <c r="G52" s="48"/>
      <c r="H52" s="48"/>
      <c r="I52" s="48"/>
      <c r="J52" s="48"/>
      <c r="K52" s="48"/>
      <c r="L52" s="48"/>
    </row>
    <row r="53" spans="1:12" ht="16.149999999999999" thickBot="1">
      <c r="A53" s="146" t="s">
        <v>66</v>
      </c>
      <c r="B53" s="149"/>
      <c r="C53" s="147"/>
      <c r="D53" s="147"/>
      <c r="E53" s="147"/>
      <c r="F53" s="147"/>
      <c r="G53" s="147"/>
      <c r="H53" s="147"/>
      <c r="I53" s="147"/>
      <c r="J53" s="147"/>
      <c r="K53" s="147"/>
      <c r="L53" s="148"/>
    </row>
    <row r="54" spans="1:12">
      <c r="A54" s="6" t="s">
        <v>57</v>
      </c>
      <c r="B54" s="50">
        <f>B14/B15</f>
        <v>1.3684304389198723</v>
      </c>
      <c r="C54" s="6" t="s">
        <v>67</v>
      </c>
    </row>
    <row r="55" spans="1:12" ht="16.149999999999999" thickBot="1">
      <c r="A55" s="6" t="s">
        <v>68</v>
      </c>
      <c r="B55" s="51">
        <f>B20/B19</f>
        <v>0.17513134851138354</v>
      </c>
      <c r="C55" s="6" t="s">
        <v>69</v>
      </c>
    </row>
    <row r="56" spans="1:12">
      <c r="A56" s="52"/>
      <c r="B56" s="44">
        <f t="shared" ref="B56:L56" si="2">B42</f>
        <v>0</v>
      </c>
      <c r="C56" s="45">
        <f t="shared" si="2"/>
        <v>1</v>
      </c>
      <c r="D56" s="45">
        <f t="shared" si="2"/>
        <v>2</v>
      </c>
      <c r="E56" s="45">
        <f t="shared" si="2"/>
        <v>3</v>
      </c>
      <c r="F56" s="45">
        <f t="shared" si="2"/>
        <v>4</v>
      </c>
      <c r="G56" s="45">
        <f t="shared" si="2"/>
        <v>5</v>
      </c>
      <c r="H56" s="45">
        <f t="shared" si="2"/>
        <v>6</v>
      </c>
      <c r="I56" s="45">
        <f t="shared" si="2"/>
        <v>7</v>
      </c>
      <c r="J56" s="45">
        <f t="shared" si="2"/>
        <v>8</v>
      </c>
      <c r="K56" s="45">
        <f t="shared" si="2"/>
        <v>9</v>
      </c>
      <c r="L56" s="45">
        <f t="shared" si="2"/>
        <v>10</v>
      </c>
    </row>
    <row r="57" spans="1:12">
      <c r="A57" s="53" t="s">
        <v>58</v>
      </c>
      <c r="B57" s="45"/>
      <c r="C57" s="32">
        <f t="shared" ref="C57:L57" si="3">C43*(1+$B$14)^C56</f>
        <v>1400.1490390471022</v>
      </c>
      <c r="D57" s="32">
        <f t="shared" si="3"/>
        <v>1927.6473269857659</v>
      </c>
      <c r="E57" s="32">
        <f t="shared" si="3"/>
        <v>2653.8776327441838</v>
      </c>
      <c r="F57" s="32">
        <f t="shared" si="3"/>
        <v>3653.7111280583758</v>
      </c>
      <c r="G57" s="32">
        <f t="shared" si="3"/>
        <v>5030.226278177619</v>
      </c>
      <c r="H57" s="32">
        <f t="shared" si="3"/>
        <v>6925.335781297812</v>
      </c>
      <c r="I57" s="32">
        <f t="shared" si="3"/>
        <v>9534.4171477508789</v>
      </c>
      <c r="J57" s="32">
        <f t="shared" si="3"/>
        <v>13126.455267745927</v>
      </c>
      <c r="K57" s="32">
        <f t="shared" si="3"/>
        <v>18071.773578396493</v>
      </c>
      <c r="L57" s="32">
        <f t="shared" si="3"/>
        <v>24880.212792201241</v>
      </c>
    </row>
    <row r="58" spans="1:12">
      <c r="A58" s="53" t="s">
        <v>59</v>
      </c>
      <c r="B58" s="32">
        <f>B10*(1-B11)*$B$54</f>
        <v>1391.6937563815102</v>
      </c>
      <c r="C58" s="32">
        <f>IF(D56=0,C57*$B$55,C57*$B$54)</f>
        <v>1916.0065640564635</v>
      </c>
      <c r="D58" s="32">
        <f t="shared" ref="D58:L58" si="4">IF(E56=0,D57*$B$55,D57*$B$54)</f>
        <v>2637.8512777498499</v>
      </c>
      <c r="E58" s="32">
        <f t="shared" si="4"/>
        <v>3631.6469338157549</v>
      </c>
      <c r="F58" s="32">
        <f t="shared" si="4"/>
        <v>4999.849522655345</v>
      </c>
      <c r="G58" s="32">
        <f t="shared" si="4"/>
        <v>6883.5147537128742</v>
      </c>
      <c r="H58" s="32">
        <f t="shared" si="4"/>
        <v>9476.8402828688613</v>
      </c>
      <c r="I58" s="32">
        <f t="shared" si="4"/>
        <v>13047.186642341892</v>
      </c>
      <c r="J58" s="32">
        <f t="shared" si="4"/>
        <v>17962.640943503629</v>
      </c>
      <c r="K58" s="32">
        <f t="shared" si="4"/>
        <v>24729.965049945662</v>
      </c>
      <c r="L58" s="32">
        <f t="shared" si="4"/>
        <v>4357.3052175483781</v>
      </c>
    </row>
    <row r="59" spans="1:12">
      <c r="A59" s="6" t="s">
        <v>60</v>
      </c>
      <c r="B59" s="32">
        <f>B57-B58</f>
        <v>-1391.6937563815102</v>
      </c>
      <c r="C59" s="32">
        <f t="shared" ref="C59:L59" si="5">C57-C58</f>
        <v>-515.85752500936132</v>
      </c>
      <c r="D59" s="32">
        <f t="shared" si="5"/>
        <v>-710.20395076408408</v>
      </c>
      <c r="E59" s="32">
        <f t="shared" si="5"/>
        <v>-977.76930107157114</v>
      </c>
      <c r="F59" s="32">
        <f t="shared" si="5"/>
        <v>-1346.1383945969692</v>
      </c>
      <c r="G59" s="32">
        <f t="shared" si="5"/>
        <v>-1853.2884755352552</v>
      </c>
      <c r="H59" s="32">
        <f t="shared" si="5"/>
        <v>-2551.5045015710493</v>
      </c>
      <c r="I59" s="32">
        <f t="shared" si="5"/>
        <v>-3512.7694945910134</v>
      </c>
      <c r="J59" s="32">
        <f t="shared" si="5"/>
        <v>-4836.1856757577025</v>
      </c>
      <c r="K59" s="32">
        <f t="shared" si="5"/>
        <v>-6658.1914715491694</v>
      </c>
      <c r="L59" s="32">
        <f t="shared" si="5"/>
        <v>20522.907574652862</v>
      </c>
    </row>
    <row r="60" spans="1:12">
      <c r="A60" s="6" t="s">
        <v>70</v>
      </c>
      <c r="B60" s="32">
        <f>B10*(1-B11)*(1+B14)^B16*(1+B20)</f>
        <v>25377.817048045265</v>
      </c>
    </row>
    <row r="61" spans="1:12">
      <c r="A61" s="6" t="s">
        <v>71</v>
      </c>
      <c r="B61" s="32">
        <f>B60*(1-B55)</f>
        <v>20933.365726145919</v>
      </c>
    </row>
    <row r="62" spans="1:12">
      <c r="A62" s="6" t="s">
        <v>72</v>
      </c>
      <c r="B62" s="32">
        <f>B61/(B19-B20)</f>
        <v>222222.5660949673</v>
      </c>
    </row>
    <row r="63" spans="1:12">
      <c r="A63" s="6" t="s">
        <v>65</v>
      </c>
      <c r="B63" s="32">
        <f>B59+NPV(B19,C59:L59)+B62/(1+B19)^B16</f>
        <v>69702.998920467726</v>
      </c>
      <c r="C63" s="56">
        <f>GROWTH_WORTH_CALC_FUNC(B10,B11,B19,B20,B16,B15,B14)</f>
        <v>69702.998920467697</v>
      </c>
      <c r="D63" s="33">
        <f>B63-C63</f>
        <v>0</v>
      </c>
    </row>
    <row r="64" spans="1:12">
      <c r="C64" s="54"/>
    </row>
    <row r="66" spans="1:5">
      <c r="A66" s="6" t="s">
        <v>73</v>
      </c>
      <c r="B66" s="55">
        <f>B63-B50</f>
        <v>60797.569848663872</v>
      </c>
      <c r="C66" s="55">
        <f>GROWTH_WORTH_FORMULA_FUNC(B10,B11,B15,B16,B19,B20,B14,0)</f>
        <v>60797.56984866385</v>
      </c>
      <c r="D66" s="6" t="s">
        <v>566</v>
      </c>
      <c r="E66" s="33">
        <f>B66-C66</f>
        <v>0</v>
      </c>
    </row>
    <row r="67" spans="1:5">
      <c r="C67" s="55">
        <f>GROWTH_WORTH_FORMULA_FUNC(B10,B11,B15,B16,B19,B20,B14,1)</f>
        <v>60797.569848663843</v>
      </c>
      <c r="D67" s="6" t="s">
        <v>567</v>
      </c>
      <c r="E67" s="33">
        <f>B66-C67</f>
        <v>0</v>
      </c>
    </row>
  </sheetData>
  <mergeCells count="5">
    <mergeCell ref="B31:G31"/>
    <mergeCell ref="B32:D32"/>
    <mergeCell ref="E32:G32"/>
    <mergeCell ref="A40:L40"/>
    <mergeCell ref="A53:L53"/>
  </mergeCells>
  <pageMargins left="0.75" right="0.75" top="1" bottom="1" header="0.5" footer="0.5"/>
  <pageSetup orientation="portrait" horizontalDpi="4294967292" verticalDpi="4294967292"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41" r:id="rId4" name="Button 17">
              <controlPr defaultSize="0" print="0" autoFill="0" autoPict="0" macro="[0]!Run_Goal_Seek">
                <anchor moveWithCells="1" sizeWithCells="1">
                  <from>
                    <xdr:col>3</xdr:col>
                    <xdr:colOff>28575</xdr:colOff>
                    <xdr:row>17</xdr:row>
                    <xdr:rowOff>38100</xdr:rowOff>
                  </from>
                  <to>
                    <xdr:col>4</xdr:col>
                    <xdr:colOff>47625</xdr:colOff>
                    <xdr:row>18</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N113"/>
  <sheetViews>
    <sheetView tabSelected="1" zoomScale="90" zoomScaleNormal="90" workbookViewId="0">
      <selection activeCell="B38" sqref="B38"/>
    </sheetView>
  </sheetViews>
  <sheetFormatPr defaultColWidth="15.73046875" defaultRowHeight="15.75" outlineLevelRow="1"/>
  <cols>
    <col min="1" max="1" width="44.86328125" style="6" bestFit="1" customWidth="1"/>
    <col min="2" max="3" width="15.73046875" style="6"/>
    <col min="4" max="4" width="54.265625" style="6" customWidth="1"/>
    <col min="5" max="7" width="15.73046875" style="6"/>
    <col min="8" max="8" width="46.73046875" style="6" customWidth="1"/>
    <col min="9" max="9" width="37.265625" style="6" customWidth="1"/>
    <col min="10" max="10" width="76.86328125" style="6" bestFit="1" customWidth="1"/>
    <col min="11" max="13" width="15.73046875" style="6"/>
    <col min="14" max="14" width="112.59765625" style="6" bestFit="1" customWidth="1"/>
    <col min="15" max="16" width="15.73046875" style="6"/>
    <col min="17" max="18" width="15.3984375" style="6" customWidth="1"/>
    <col min="19" max="20" width="17.73046875" style="6" customWidth="1"/>
    <col min="21" max="40" width="15.3984375" style="6" customWidth="1"/>
    <col min="41" max="16384" width="15.73046875" style="6"/>
  </cols>
  <sheetData>
    <row r="1" spans="1:31" outlineLevel="1">
      <c r="A1" s="78" t="s">
        <v>75</v>
      </c>
      <c r="B1" s="58">
        <v>70000</v>
      </c>
      <c r="D1" s="79" t="str">
        <f>"'"&amp;I1&amp;": "&amp;RNG_COMMENT_FUNC(B1)</f>
        <v>'MARKET_CAPITALIZATION_RNG: Market capitalizarion of all classes of shares in your company.</v>
      </c>
      <c r="E1" s="6" t="s">
        <v>98</v>
      </c>
      <c r="H1" s="6" t="str">
        <f>SUBSTITUTE(SUBSTITUTE(UPPER(A1)," - "," ")," ","_")</f>
        <v>MARKET_CAPITALIZATION</v>
      </c>
      <c r="I1" s="6" t="str">
        <f>H1&amp;"_RNG"</f>
        <v>MARKET_CAPITALIZATION_RNG</v>
      </c>
      <c r="J1" s="79" t="str">
        <f>"ByRef "&amp;I1&amp;" As Variant, _"</f>
        <v>ByRef MARKET_CAPITALIZATION_RNG As Variant, _</v>
      </c>
      <c r="K1" s="6" t="str">
        <f>H1&amp;"_VECTOR"</f>
        <v>MARKET_CAPITALIZATION_VECTOR</v>
      </c>
      <c r="L1" s="79" t="str">
        <f>"Dim "&amp;K1&amp;" as Variant"</f>
        <v>Dim MARKET_CAPITALIZATION_VECTOR as Variant</v>
      </c>
      <c r="M1" s="6" t="str">
        <f>K1&amp;" = CHECK_DIMENSION_FUNC("&amp;I1&amp;")"</f>
        <v>MARKET_CAPITALIZATION_VECTOR = CHECK_DIMENSION_FUNC(MARKET_CAPITALIZATION_RNG)</v>
      </c>
      <c r="N1" s="6" t="str">
        <f>"NROWS = UBOUND("&amp;K1&amp;",1)"</f>
        <v>NROWS = UBOUND(MARKET_CAPITALIZATION_VECTOR,1)</v>
      </c>
      <c r="P1" s="80" t="s">
        <v>504</v>
      </c>
      <c r="Q1" s="6" t="str">
        <f>TRIM(A1)</f>
        <v>Market Capitalization</v>
      </c>
      <c r="R1" s="6" t="str">
        <f>Q1</f>
        <v>Market Capitalization</v>
      </c>
      <c r="S1" s="6">
        <v>19</v>
      </c>
      <c r="T1" s="6" t="str">
        <f ca="1">OFFSET($R$1,$S1-1,0)&amp;","</f>
        <v>Market Capitalization,Book value of equity - this year,Book value of equity - last year,Total Debt Outstanding - this year,Total Debt Outstanding - last year,Cash and Marketable Securities - this year,Cash and Marketable Securities - last year,Revenues - this year,Revenues - last year,Operating income EBIT - this year,Operating income EBIT - last year,Effective tax rate,Net Income,Cost of equity,Cost of capital,Riskfree rate,Length of growth period,Return on Invested capital on growth,Expected growth rate in operating income,</v>
      </c>
      <c r="U1" s="79" t="str">
        <f ca="1">"HEADINGS_STR="&amp;""""&amp;T1&amp;""""</f>
        <v>HEADINGS_STR="Market Capitalization,Book value of equity - this year,Book value of equity - last year,Total Debt Outstanding - this year,Total Debt Outstanding - last year,Cash and Marketable Securities - this year,Cash and Marketable Securities - last year,Revenues - this year,Revenues - last year,Operating income EBIT - this year,Operating income EBIT - last year,Effective tax rate,Net Income,Cost of equity,Cost of capital,Riskfree rate,Length of growth period,Return on Invested capital on growth,Expected growth rate in operating income,"</v>
      </c>
      <c r="V1" s="6" t="s">
        <v>98</v>
      </c>
      <c r="W1" s="11">
        <v>1</v>
      </c>
      <c r="X1" s="79" t="str">
        <f>"TEMP_MATRIX(i,"&amp;W1&amp;")="&amp;K1&amp;"(i,1)"</f>
        <v>TEMP_MATRIX(i,1)=MARKET_CAPITALIZATION_VECTOR(i,1)</v>
      </c>
      <c r="AE1" s="6" t="s">
        <v>98</v>
      </c>
    </row>
    <row r="2" spans="1:31" outlineLevel="1">
      <c r="A2" s="78" t="str">
        <f t="shared" ref="A2:A11" ca="1" si="0">OFFSET($F$27,$D23-1,0)&amp;"- "&amp;LOWER(OFFSET($F$23,$E23-1,0))</f>
        <v>Book value of equity - this year</v>
      </c>
      <c r="B2" s="58">
        <v>5228</v>
      </c>
      <c r="D2" s="79" t="str">
        <f t="shared" ref="D2:D19" ca="1" si="1">"'"&amp;I2&amp;": "&amp;RNG_COMMENT_FUNC(B2)</f>
        <v>'BOOK_VALUE_OF_EQUITY_THIS_YEAR_RNG: Book value of equity from the balance sheet, including retailed earnings.</v>
      </c>
      <c r="E2" s="6" t="s">
        <v>98</v>
      </c>
      <c r="H2" s="6" t="str">
        <f t="shared" ref="H2:H19" ca="1" si="2">SUBSTITUTE(SUBSTITUTE(UPPER(A2)," - "," ")," ","_")</f>
        <v>BOOK_VALUE_OF_EQUITY_THIS_YEAR</v>
      </c>
      <c r="I2" s="6" t="str">
        <f t="shared" ref="I2:I19" ca="1" si="3">H2&amp;"_RNG"</f>
        <v>BOOK_VALUE_OF_EQUITY_THIS_YEAR_RNG</v>
      </c>
      <c r="J2" s="79" t="str">
        <f t="shared" ref="J2:J19" ca="1" si="4">"ByRef "&amp;I2&amp;" As Variant, _"</f>
        <v>ByRef BOOK_VALUE_OF_EQUITY_THIS_YEAR_RNG As Variant, _</v>
      </c>
      <c r="K2" s="6" t="str">
        <f ca="1">H2&amp;"_VECTOR"</f>
        <v>BOOK_VALUE_OF_EQUITY_THIS_YEAR_VECTOR</v>
      </c>
      <c r="L2" s="79" t="str">
        <f t="shared" ref="L2:L19" ca="1" si="5">"Dim "&amp;K2&amp;" as Variant"</f>
        <v>Dim BOOK_VALUE_OF_EQUITY_THIS_YEAR_VECTOR as Variant</v>
      </c>
      <c r="M2" s="6" t="str">
        <f ca="1">K2&amp;" = CHECK_DIMENSION_FUNC("&amp;I2&amp;")"</f>
        <v>BOOK_VALUE_OF_EQUITY_THIS_YEAR_VECTOR = CHECK_DIMENSION_FUNC(BOOK_VALUE_OF_EQUITY_THIS_YEAR_RNG)</v>
      </c>
      <c r="N2" s="6" t="str">
        <f ca="1">"IF UBOUND("&amp;K2&amp;",1) &lt;&gt; NROWS Then: Goto ERROR_LABEL"</f>
        <v>IF UBOUND(BOOK_VALUE_OF_EQUITY_THIS_YEAR_VECTOR,1) &lt;&gt; NROWS Then: Goto ERROR_LABEL</v>
      </c>
      <c r="P2" s="6" t="s">
        <v>98</v>
      </c>
      <c r="Q2" s="6" t="str">
        <f t="shared" ref="Q2:Q61" ca="1" si="6">TRIM(A2)</f>
        <v>Book value of equity - this year</v>
      </c>
      <c r="R2" s="6" t="str">
        <f ca="1">R1&amp;","&amp;Q2</f>
        <v>Market Capitalization,Book value of equity - this year</v>
      </c>
      <c r="S2" s="6">
        <v>27</v>
      </c>
      <c r="T2" s="6" t="str">
        <f t="shared" ref="T2:T6" ca="1" si="7">OFFSET($R$1,$S2-1,0)&amp;","</f>
        <v>ROE,ROIC,Net margin,Pre-tax operating margin,D/E ratio (book),D/E ratio (market),Growth rate (revenue),Growth rate (EBIT),</v>
      </c>
      <c r="U2" s="79" t="str">
        <f ca="1">"HEADINGS_STR= HEADINGS_STR &amp; "&amp;""""&amp;T2&amp;""""</f>
        <v>HEADINGS_STR= HEADINGS_STR &amp; "ROE,ROIC,Net margin,Pre-tax operating margin,D/E ratio (book),D/E ratio (market),Growth rate (revenue),Growth rate (EBIT),"</v>
      </c>
      <c r="V2" s="6" t="s">
        <v>98</v>
      </c>
      <c r="W2" s="11">
        <f>W1+1</f>
        <v>2</v>
      </c>
      <c r="X2" s="79" t="str">
        <f t="shared" ref="X2:X19" ca="1" si="8">"TEMP_MATRIX(i,"&amp;W2&amp;")="&amp;K2&amp;"(i,1)"</f>
        <v>TEMP_MATRIX(i,2)=BOOK_VALUE_OF_EQUITY_THIS_YEAR_VECTOR(i,1)</v>
      </c>
      <c r="AE2" s="6" t="s">
        <v>98</v>
      </c>
    </row>
    <row r="3" spans="1:31" outlineLevel="1">
      <c r="A3" s="78" t="str">
        <f t="shared" ca="1" si="0"/>
        <v>Book value of equity - last year</v>
      </c>
      <c r="B3" s="58">
        <v>4162</v>
      </c>
      <c r="D3" s="79" t="str">
        <f t="shared" ca="1" si="1"/>
        <v xml:space="preserve">'BOOK_VALUE_OF_EQUITY_LAST_YEAR_RNG: </v>
      </c>
      <c r="E3" s="6" t="s">
        <v>98</v>
      </c>
      <c r="H3" s="6" t="str">
        <f t="shared" ca="1" si="2"/>
        <v>BOOK_VALUE_OF_EQUITY_LAST_YEAR</v>
      </c>
      <c r="I3" s="6" t="str">
        <f t="shared" ca="1" si="3"/>
        <v>BOOK_VALUE_OF_EQUITY_LAST_YEAR_RNG</v>
      </c>
      <c r="J3" s="79" t="str">
        <f t="shared" ca="1" si="4"/>
        <v>ByRef BOOK_VALUE_OF_EQUITY_LAST_YEAR_RNG As Variant, _</v>
      </c>
      <c r="K3" s="6" t="str">
        <f ca="1">H3&amp;"_VECTOR"</f>
        <v>BOOK_VALUE_OF_EQUITY_LAST_YEAR_VECTOR</v>
      </c>
      <c r="L3" s="79" t="str">
        <f t="shared" ca="1" si="5"/>
        <v>Dim BOOK_VALUE_OF_EQUITY_LAST_YEAR_VECTOR as Variant</v>
      </c>
      <c r="M3" s="6" t="str">
        <f ca="1">K3&amp;" = CHECK_DIMENSION_FUNC("&amp;I3&amp;")"</f>
        <v>BOOK_VALUE_OF_EQUITY_LAST_YEAR_VECTOR = CHECK_DIMENSION_FUNC(BOOK_VALUE_OF_EQUITY_LAST_YEAR_RNG)</v>
      </c>
      <c r="N3" s="6" t="str">
        <f ca="1">"IF UBOUND("&amp;K3&amp;",1) &lt;&gt; NROWS Then: Goto ERROR_LABEL"</f>
        <v>IF UBOUND(BOOK_VALUE_OF_EQUITY_LAST_YEAR_VECTOR,1) &lt;&gt; NROWS Then: Goto ERROR_LABEL</v>
      </c>
      <c r="P3" s="6" t="s">
        <v>98</v>
      </c>
      <c r="Q3" s="6" t="str">
        <f t="shared" ca="1" si="6"/>
        <v>Book value of equity - last year</v>
      </c>
      <c r="R3" s="6" t="str">
        <f t="shared" ref="R3:R19" ca="1" si="9">R2&amp;","&amp;Q3</f>
        <v>Market Capitalization,Book value of equity - this year,Book value of equity - last year</v>
      </c>
      <c r="S3" s="6">
        <v>32</v>
      </c>
      <c r="T3" s="6" t="str">
        <f t="shared" ca="1" si="7"/>
        <v>Value of assets in place,Expected growth rate in operating income,Value added by future growth,Intrinsic enterprise value,Intrinsic equity value,</v>
      </c>
      <c r="U3" s="79" t="str">
        <f ca="1">"HEADINGS_STR= HEADINGS_STR &amp; "&amp;""""&amp;T3&amp;""""</f>
        <v>HEADINGS_STR= HEADINGS_STR &amp; "Value of assets in place,Expected growth rate in operating income,Value added by future growth,Intrinsic enterprise value,Intrinsic equity value,"</v>
      </c>
      <c r="V3" s="6" t="s">
        <v>505</v>
      </c>
      <c r="W3" s="11">
        <f t="shared" ref="W3:W19" si="10">W2+1</f>
        <v>3</v>
      </c>
      <c r="X3" s="79" t="str">
        <f t="shared" ca="1" si="8"/>
        <v>TEMP_MATRIX(i,3)=BOOK_VALUE_OF_EQUITY_LAST_YEAR_VECTOR(i,1)</v>
      </c>
      <c r="AE3" s="6" t="s">
        <v>98</v>
      </c>
    </row>
    <row r="4" spans="1:31" outlineLevel="1">
      <c r="A4" s="78" t="str">
        <f t="shared" ca="1" si="0"/>
        <v>Total Debt Outstanding - this year</v>
      </c>
      <c r="B4" s="58">
        <v>1215</v>
      </c>
      <c r="D4" s="79" t="str">
        <f t="shared" ca="1" si="1"/>
        <v>'TOTAL_DEBT_OUTSTANDING_THIS_YEAR_RNG: Book value of interest bearting debt, short as well as long term. Should not include accounts payable, supplier credit, deferred iems or other non-interest bearing debt.</v>
      </c>
      <c r="E4" s="6" t="s">
        <v>98</v>
      </c>
      <c r="H4" s="6" t="str">
        <f t="shared" ca="1" si="2"/>
        <v>TOTAL_DEBT_OUTSTANDING_THIS_YEAR</v>
      </c>
      <c r="I4" s="6" t="str">
        <f t="shared" ca="1" si="3"/>
        <v>TOTAL_DEBT_OUTSTANDING_THIS_YEAR_RNG</v>
      </c>
      <c r="J4" s="79" t="str">
        <f t="shared" ca="1" si="4"/>
        <v>ByRef TOTAL_DEBT_OUTSTANDING_THIS_YEAR_RNG As Variant, _</v>
      </c>
      <c r="K4" s="6" t="str">
        <f t="shared" ref="K4:K19" ca="1" si="11">H4&amp;"_VECTOR"</f>
        <v>TOTAL_DEBT_OUTSTANDING_THIS_YEAR_VECTOR</v>
      </c>
      <c r="L4" s="79" t="str">
        <f ca="1">"Dim "&amp;K4&amp;" as Variant"</f>
        <v>Dim TOTAL_DEBT_OUTSTANDING_THIS_YEAR_VECTOR as Variant</v>
      </c>
      <c r="M4" s="6" t="str">
        <f t="shared" ref="M4:M19" ca="1" si="12">K4&amp;" = CHECK_DIMENSION_FUNC("&amp;I4&amp;")"</f>
        <v>TOTAL_DEBT_OUTSTANDING_THIS_YEAR_VECTOR = CHECK_DIMENSION_FUNC(TOTAL_DEBT_OUTSTANDING_THIS_YEAR_RNG)</v>
      </c>
      <c r="N4" s="6" t="str">
        <f ca="1">"IF UBOUND("&amp;K4&amp;",1) &lt;&gt; NROWS Then: Goto ERROR_LABEL"</f>
        <v>IF UBOUND(TOTAL_DEBT_OUTSTANDING_THIS_YEAR_VECTOR,1) &lt;&gt; NROWS Then: Goto ERROR_LABEL</v>
      </c>
      <c r="P4" s="6" t="s">
        <v>98</v>
      </c>
      <c r="Q4" s="6" t="str">
        <f t="shared" ca="1" si="6"/>
        <v>Total Debt Outstanding - this year</v>
      </c>
      <c r="R4" s="6" t="str">
        <f t="shared" ca="1" si="9"/>
        <v>Market Capitalization,Book value of equity - this year,Book value of equity - last year,Total Debt Outstanding - this year</v>
      </c>
      <c r="S4" s="6">
        <v>35</v>
      </c>
      <c r="T4" s="6" t="str">
        <f t="shared" ca="1" si="7"/>
        <v>Price you are paying for growth,Value of this growth,Price of growth/ Value of growth,</v>
      </c>
      <c r="U4" s="79" t="str">
        <f ca="1">"HEADINGS_STR= HEADINGS_STR &amp; "&amp;""""&amp;T4&amp;""""</f>
        <v>HEADINGS_STR= HEADINGS_STR &amp; "Price you are paying for growth,Value of this growth,Price of growth/ Value of growth,"</v>
      </c>
      <c r="V4" s="6" t="s">
        <v>98</v>
      </c>
      <c r="W4" s="11">
        <f t="shared" si="10"/>
        <v>4</v>
      </c>
      <c r="X4" s="79" t="str">
        <f t="shared" ca="1" si="8"/>
        <v>TEMP_MATRIX(i,4)=TOTAL_DEBT_OUTSTANDING_THIS_YEAR_VECTOR(i,1)</v>
      </c>
      <c r="AE4" s="6" t="s">
        <v>98</v>
      </c>
    </row>
    <row r="5" spans="1:31" outlineLevel="1">
      <c r="A5" s="78" t="str">
        <f t="shared" ca="1" si="0"/>
        <v>Total Debt Outstanding - last year</v>
      </c>
      <c r="B5" s="58">
        <v>1317</v>
      </c>
      <c r="D5" s="79" t="str">
        <f t="shared" ca="1" si="1"/>
        <v xml:space="preserve">'TOTAL_DEBT_OUTSTANDING_LAST_YEAR_RNG: </v>
      </c>
      <c r="E5" s="6" t="s">
        <v>98</v>
      </c>
      <c r="H5" s="6" t="str">
        <f t="shared" ca="1" si="2"/>
        <v>TOTAL_DEBT_OUTSTANDING_LAST_YEAR</v>
      </c>
      <c r="I5" s="6" t="str">
        <f t="shared" ca="1" si="3"/>
        <v>TOTAL_DEBT_OUTSTANDING_LAST_YEAR_RNG</v>
      </c>
      <c r="J5" s="79" t="str">
        <f t="shared" ca="1" si="4"/>
        <v>ByRef TOTAL_DEBT_OUTSTANDING_LAST_YEAR_RNG As Variant, _</v>
      </c>
      <c r="K5" s="6" t="str">
        <f t="shared" ca="1" si="11"/>
        <v>TOTAL_DEBT_OUTSTANDING_LAST_YEAR_VECTOR</v>
      </c>
      <c r="L5" s="79" t="str">
        <f t="shared" ca="1" si="5"/>
        <v>Dim TOTAL_DEBT_OUTSTANDING_LAST_YEAR_VECTOR as Variant</v>
      </c>
      <c r="M5" s="6" t="str">
        <f t="shared" ca="1" si="12"/>
        <v>TOTAL_DEBT_OUTSTANDING_LAST_YEAR_VECTOR = CHECK_DIMENSION_FUNC(TOTAL_DEBT_OUTSTANDING_LAST_YEAR_RNG)</v>
      </c>
      <c r="N5" s="6" t="str">
        <f t="shared" ref="N5:N18" ca="1" si="13">"IF UBOUND("&amp;K5&amp;",1) &lt;&gt; NROWS Then: Goto ERROR_LABEL"</f>
        <v>IF UBOUND(TOTAL_DEBT_OUTSTANDING_LAST_YEAR_VECTOR,1) &lt;&gt; NROWS Then: Goto ERROR_LABEL</v>
      </c>
      <c r="P5" s="6" t="s">
        <v>98</v>
      </c>
      <c r="Q5" s="6" t="str">
        <f t="shared" ca="1" si="6"/>
        <v>Total Debt Outstanding - last year</v>
      </c>
      <c r="R5" s="6" t="str">
        <f t="shared" ca="1" si="9"/>
        <v>Market Capitalization,Book value of equity - this year,Book value of equity - last year,Total Debt Outstanding - this year,Total Debt Outstanding - last year</v>
      </c>
      <c r="S5" s="6">
        <v>37</v>
      </c>
      <c r="T5" s="6" t="str">
        <f t="shared" ca="1" si="7"/>
        <v>Market value of equity,Enterprise value,</v>
      </c>
      <c r="U5" s="79" t="str">
        <f ca="1">"HEADINGS_STR= HEADINGS_STR &amp; "&amp;""""&amp;T5&amp;""""</f>
        <v>HEADINGS_STR= HEADINGS_STR &amp; "Market value of equity,Enterprise value,"</v>
      </c>
      <c r="V5" s="6" t="s">
        <v>98</v>
      </c>
      <c r="W5" s="11">
        <f t="shared" si="10"/>
        <v>5</v>
      </c>
      <c r="X5" s="79" t="str">
        <f t="shared" ca="1" si="8"/>
        <v>TEMP_MATRIX(i,5)=TOTAL_DEBT_OUTSTANDING_LAST_YEAR_VECTOR(i,1)</v>
      </c>
      <c r="AE5" s="6" t="s">
        <v>98</v>
      </c>
    </row>
    <row r="6" spans="1:31" outlineLevel="1">
      <c r="A6" s="78" t="str">
        <f t="shared" ca="1" si="0"/>
        <v>Cash and Marketable Securities - this year</v>
      </c>
      <c r="B6" s="58">
        <v>1512</v>
      </c>
      <c r="D6" s="79" t="str">
        <f t="shared" ca="1" si="1"/>
        <v>'CASH_AND_MARKETABLE_SECURITIES_THIS_YEAR_RNG: Cash and marketable securites as of last balance sheet.</v>
      </c>
      <c r="E6" s="6" t="s">
        <v>98</v>
      </c>
      <c r="H6" s="6" t="str">
        <f t="shared" ca="1" si="2"/>
        <v>CASH_AND_MARKETABLE_SECURITIES_THIS_YEAR</v>
      </c>
      <c r="I6" s="6" t="str">
        <f t="shared" ca="1" si="3"/>
        <v>CASH_AND_MARKETABLE_SECURITIES_THIS_YEAR_RNG</v>
      </c>
      <c r="J6" s="79" t="str">
        <f t="shared" ca="1" si="4"/>
        <v>ByRef CASH_AND_MARKETABLE_SECURITIES_THIS_YEAR_RNG As Variant, _</v>
      </c>
      <c r="K6" s="6" t="str">
        <f t="shared" ca="1" si="11"/>
        <v>CASH_AND_MARKETABLE_SECURITIES_THIS_YEAR_VECTOR</v>
      </c>
      <c r="L6" s="79" t="str">
        <f t="shared" ca="1" si="5"/>
        <v>Dim CASH_AND_MARKETABLE_SECURITIES_THIS_YEAR_VECTOR as Variant</v>
      </c>
      <c r="M6" s="6" t="str">
        <f t="shared" ca="1" si="12"/>
        <v>CASH_AND_MARKETABLE_SECURITIES_THIS_YEAR_VECTOR = CHECK_DIMENSION_FUNC(CASH_AND_MARKETABLE_SECURITIES_THIS_YEAR_RNG)</v>
      </c>
      <c r="N6" s="6" t="str">
        <f t="shared" ca="1" si="13"/>
        <v>IF UBOUND(CASH_AND_MARKETABLE_SECURITIES_THIS_YEAR_VECTOR,1) &lt;&gt; NROWS Then: Goto ERROR_LABEL</v>
      </c>
      <c r="P6" s="6" t="s">
        <v>98</v>
      </c>
      <c r="Q6" s="6" t="str">
        <f t="shared" ca="1" si="6"/>
        <v>Cash and Marketable Securities - this year</v>
      </c>
      <c r="R6" s="6" t="str">
        <f t="shared" ca="1" si="9"/>
        <v>Market Capitalization,Book value of equity - this year,Book value of equity - last year,Total Debt Outstanding - this year,Total Debt Outstanding - last year,Cash and Marketable Securities - this year</v>
      </c>
      <c r="S6" s="6">
        <v>61</v>
      </c>
      <c r="T6" s="6" t="str">
        <f t="shared" ca="1" si="7"/>
        <v>P/E: Total - Actual,P/E: Total - Intrinsic,P/E: Assets in Place - Actual,P/E: Assets in Place - Intrinsic,P/E: Growth - Actual,P/E: Growth - Intrinsic,P/BV: Total - Actual,P/BV: Total - Intrinsic,P/BV: Assets in Place - Actual,P/BV: Assets in Place - Intrinsic,P/BV: Growth - Actual,P/BV: Growth - Intrinsic,EV/Sales: Total - Actual,EV/Sales: Total - Intrinsic,EV/Sales: Assets in Place - Actual,EV/Sales: Assets in Place - Intrinsic,EV/Sales: Growth - Actual,EV/Sales: Growth - Intrinsic,EV/Invested Capital: Total - Actual,EV/Invested Capital: Total - Intrinsic,EV/Invested Capital: Assets in Place - Actual,EV/Invested Capital: Assets in Place - Intrinsic,EV/Invested Capital: Growth - Actual,EV/Invested Capital: Growth - Intrinsic,</v>
      </c>
      <c r="U6" s="79" t="str">
        <f ca="1">"HEADINGS_STR= HEADINGS_STR &amp; "&amp;""""&amp;T6&amp;""""</f>
        <v>HEADINGS_STR= HEADINGS_STR &amp; "P/E: Total - Actual,P/E: Total - Intrinsic,P/E: Assets in Place - Actual,P/E: Assets in Place - Intrinsic,P/E: Growth - Actual,P/E: Growth - Intrinsic,P/BV: Total - Actual,P/BV: Total - Intrinsic,P/BV: Assets in Place - Actual,P/BV: Assets in Place - Intrinsic,P/BV: Growth - Actual,P/BV: Growth - Intrinsic,EV/Sales: Total - Actual,EV/Sales: Total - Intrinsic,EV/Sales: Assets in Place - Actual,EV/Sales: Assets in Place - Intrinsic,EV/Sales: Growth - Actual,EV/Sales: Growth - Intrinsic,EV/Invested Capital: Total - Actual,EV/Invested Capital: Total - Intrinsic,EV/Invested Capital: Assets in Place - Actual,EV/Invested Capital: Assets in Place - Intrinsic,EV/Invested Capital: Growth - Actual,EV/Invested Capital: Growth - Intrinsic,"</v>
      </c>
      <c r="V6" s="6" t="s">
        <v>98</v>
      </c>
      <c r="W6" s="11">
        <f t="shared" si="10"/>
        <v>6</v>
      </c>
      <c r="X6" s="79" t="str">
        <f t="shared" ca="1" si="8"/>
        <v>TEMP_MATRIX(i,6)=CASH_AND_MARKETABLE_SECURITIES_THIS_YEAR_VECTOR(i,1)</v>
      </c>
      <c r="AE6" s="6" t="s">
        <v>98</v>
      </c>
    </row>
    <row r="7" spans="1:31" outlineLevel="1">
      <c r="A7" s="78" t="str">
        <f t="shared" ca="1" si="0"/>
        <v>Cash and Marketable Securities - last year</v>
      </c>
      <c r="B7" s="58">
        <v>1785</v>
      </c>
      <c r="D7" s="79" t="str">
        <f t="shared" ca="1" si="1"/>
        <v xml:space="preserve">'CASH_AND_MARKETABLE_SECURITIES_LAST_YEAR_RNG: </v>
      </c>
      <c r="E7" s="6" t="s">
        <v>505</v>
      </c>
      <c r="H7" s="6" t="str">
        <f t="shared" ca="1" si="2"/>
        <v>CASH_AND_MARKETABLE_SECURITIES_LAST_YEAR</v>
      </c>
      <c r="I7" s="6" t="str">
        <f t="shared" ca="1" si="3"/>
        <v>CASH_AND_MARKETABLE_SECURITIES_LAST_YEAR_RNG</v>
      </c>
      <c r="J7" s="79" t="str">
        <f t="shared" ca="1" si="4"/>
        <v>ByRef CASH_AND_MARKETABLE_SECURITIES_LAST_YEAR_RNG As Variant, _</v>
      </c>
      <c r="K7" s="6" t="str">
        <f t="shared" ca="1" si="11"/>
        <v>CASH_AND_MARKETABLE_SECURITIES_LAST_YEAR_VECTOR</v>
      </c>
      <c r="L7" s="79" t="str">
        <f t="shared" ca="1" si="5"/>
        <v>Dim CASH_AND_MARKETABLE_SECURITIES_LAST_YEAR_VECTOR as Variant</v>
      </c>
      <c r="M7" s="6" t="str">
        <f t="shared" ca="1" si="12"/>
        <v>CASH_AND_MARKETABLE_SECURITIES_LAST_YEAR_VECTOR = CHECK_DIMENSION_FUNC(CASH_AND_MARKETABLE_SECURITIES_LAST_YEAR_RNG)</v>
      </c>
      <c r="N7" s="6" t="str">
        <f t="shared" ca="1" si="13"/>
        <v>IF UBOUND(CASH_AND_MARKETABLE_SECURITIES_LAST_YEAR_VECTOR,1) &lt;&gt; NROWS Then: Goto ERROR_LABEL</v>
      </c>
      <c r="P7" s="6" t="s">
        <v>98</v>
      </c>
      <c r="Q7" s="6" t="str">
        <f t="shared" ca="1" si="6"/>
        <v>Cash and Marketable Securities - last year</v>
      </c>
      <c r="R7" s="6" t="str">
        <f t="shared" ca="1" si="9"/>
        <v>Market Capitalization,Book value of equity - this year,Book value of equity - last year,Total Debt Outstanding - this year,Total Debt Outstanding - last year,Cash and Marketable Securities - this year,Cash and Marketable Securities - last year</v>
      </c>
      <c r="S7" s="6" t="s">
        <v>98</v>
      </c>
      <c r="W7" s="11">
        <f t="shared" si="10"/>
        <v>7</v>
      </c>
      <c r="X7" s="79" t="str">
        <f t="shared" ca="1" si="8"/>
        <v>TEMP_MATRIX(i,7)=CASH_AND_MARKETABLE_SECURITIES_LAST_YEAR_VECTOR(i,1)</v>
      </c>
    </row>
    <row r="8" spans="1:31" outlineLevel="1">
      <c r="A8" s="78" t="str">
        <f t="shared" ca="1" si="0"/>
        <v>Revenues - this year</v>
      </c>
      <c r="B8" s="58">
        <v>3711</v>
      </c>
      <c r="D8" s="79" t="str">
        <f t="shared" ca="1" si="1"/>
        <v>'REVENUES_THIS_YEAR_RNG: Sales or revenues in most recent year</v>
      </c>
      <c r="E8" s="6" t="s">
        <v>98</v>
      </c>
      <c r="H8" s="6" t="str">
        <f t="shared" ca="1" si="2"/>
        <v>REVENUES_THIS_YEAR</v>
      </c>
      <c r="I8" s="6" t="str">
        <f t="shared" ca="1" si="3"/>
        <v>REVENUES_THIS_YEAR_RNG</v>
      </c>
      <c r="J8" s="79" t="str">
        <f t="shared" ca="1" si="4"/>
        <v>ByRef REVENUES_THIS_YEAR_RNG As Variant, _</v>
      </c>
      <c r="K8" s="6" t="str">
        <f t="shared" ca="1" si="11"/>
        <v>REVENUES_THIS_YEAR_VECTOR</v>
      </c>
      <c r="L8" s="79" t="str">
        <f t="shared" ca="1" si="5"/>
        <v>Dim REVENUES_THIS_YEAR_VECTOR as Variant</v>
      </c>
      <c r="M8" s="6" t="str">
        <f t="shared" ca="1" si="12"/>
        <v>REVENUES_THIS_YEAR_VECTOR = CHECK_DIMENSION_FUNC(REVENUES_THIS_YEAR_RNG)</v>
      </c>
      <c r="N8" s="6" t="str">
        <f t="shared" ca="1" si="13"/>
        <v>IF UBOUND(REVENUES_THIS_YEAR_VECTOR,1) &lt;&gt; NROWS Then: Goto ERROR_LABEL</v>
      </c>
      <c r="P8" s="6" t="s">
        <v>98</v>
      </c>
      <c r="Q8" s="6" t="str">
        <f t="shared" ca="1" si="6"/>
        <v>Revenues - this year</v>
      </c>
      <c r="R8" s="6" t="str">
        <f t="shared" ca="1" si="9"/>
        <v>Market Capitalization,Book value of equity - this year,Book value of equity - last year,Total Debt Outstanding - this year,Total Debt Outstanding - last year,Cash and Marketable Securities - this year,Cash and Marketable Securities - last year,Revenues - this year</v>
      </c>
      <c r="S8" s="6" t="s">
        <v>98</v>
      </c>
      <c r="W8" s="11">
        <f t="shared" si="10"/>
        <v>8</v>
      </c>
      <c r="X8" s="79" t="str">
        <f t="shared" ca="1" si="8"/>
        <v>TEMP_MATRIX(i,8)=REVENUES_THIS_YEAR_VECTOR(i,1)</v>
      </c>
    </row>
    <row r="9" spans="1:31" outlineLevel="1">
      <c r="A9" s="6" t="str">
        <f t="shared" ca="1" si="0"/>
        <v>Revenues - last year</v>
      </c>
      <c r="B9" s="58">
        <v>1974</v>
      </c>
      <c r="D9" s="79" t="str">
        <f t="shared" ca="1" si="1"/>
        <v xml:space="preserve">'REVENUES_LAST_YEAR_RNG: </v>
      </c>
      <c r="E9" s="6" t="s">
        <v>98</v>
      </c>
      <c r="H9" s="6" t="str">
        <f t="shared" ca="1" si="2"/>
        <v>REVENUES_LAST_YEAR</v>
      </c>
      <c r="I9" s="6" t="str">
        <f t="shared" ca="1" si="3"/>
        <v>REVENUES_LAST_YEAR_RNG</v>
      </c>
      <c r="J9" s="79" t="str">
        <f t="shared" ca="1" si="4"/>
        <v>ByRef REVENUES_LAST_YEAR_RNG As Variant, _</v>
      </c>
      <c r="K9" s="6" t="str">
        <f t="shared" ca="1" si="11"/>
        <v>REVENUES_LAST_YEAR_VECTOR</v>
      </c>
      <c r="L9" s="79" t="str">
        <f t="shared" ca="1" si="5"/>
        <v>Dim REVENUES_LAST_YEAR_VECTOR as Variant</v>
      </c>
      <c r="M9" s="6" t="str">
        <f t="shared" ca="1" si="12"/>
        <v>REVENUES_LAST_YEAR_VECTOR = CHECK_DIMENSION_FUNC(REVENUES_LAST_YEAR_RNG)</v>
      </c>
      <c r="N9" s="6" t="str">
        <f t="shared" ca="1" si="13"/>
        <v>IF UBOUND(REVENUES_LAST_YEAR_VECTOR,1) &lt;&gt; NROWS Then: Goto ERROR_LABEL</v>
      </c>
      <c r="P9" s="6" t="s">
        <v>98</v>
      </c>
      <c r="Q9" s="6" t="str">
        <f t="shared" ca="1" si="6"/>
        <v>Revenues - last year</v>
      </c>
      <c r="R9" s="6" t="str">
        <f t="shared" ca="1" si="9"/>
        <v>Market Capitalization,Book value of equity - this year,Book value of equity - last year,Total Debt Outstanding - this year,Total Debt Outstanding - last year,Cash and Marketable Securities - this year,Cash and Marketable Securities - last year,Revenues - this year,Revenues - last year</v>
      </c>
      <c r="S9" s="6" t="s">
        <v>98</v>
      </c>
      <c r="W9" s="11">
        <f t="shared" si="10"/>
        <v>9</v>
      </c>
      <c r="X9" s="79" t="str">
        <f t="shared" ca="1" si="8"/>
        <v>TEMP_MATRIX(i,9)=REVENUES_LAST_YEAR_VECTOR(i,1)</v>
      </c>
    </row>
    <row r="10" spans="1:31" outlineLevel="1">
      <c r="A10" s="78" t="str">
        <f t="shared" ca="1" si="0"/>
        <v>Operating income EBIT - this year</v>
      </c>
      <c r="B10" s="58">
        <v>1695</v>
      </c>
      <c r="D10" s="79" t="str">
        <f t="shared" ca="1" si="1"/>
        <v>'OPERATING_INCOME_EBIT_THIS_YEAR_RNG: Operating income for the most recent year</v>
      </c>
      <c r="E10" s="6" t="s">
        <v>98</v>
      </c>
      <c r="H10" s="6" t="str">
        <f t="shared" ca="1" si="2"/>
        <v>OPERATING_INCOME_EBIT_THIS_YEAR</v>
      </c>
      <c r="I10" s="6" t="str">
        <f t="shared" ca="1" si="3"/>
        <v>OPERATING_INCOME_EBIT_THIS_YEAR_RNG</v>
      </c>
      <c r="J10" s="79" t="str">
        <f t="shared" ca="1" si="4"/>
        <v>ByRef OPERATING_INCOME_EBIT_THIS_YEAR_RNG As Variant, _</v>
      </c>
      <c r="K10" s="6" t="str">
        <f t="shared" ca="1" si="11"/>
        <v>OPERATING_INCOME_EBIT_THIS_YEAR_VECTOR</v>
      </c>
      <c r="L10" s="79" t="str">
        <f t="shared" ca="1" si="5"/>
        <v>Dim OPERATING_INCOME_EBIT_THIS_YEAR_VECTOR as Variant</v>
      </c>
      <c r="M10" s="6" t="str">
        <f t="shared" ca="1" si="12"/>
        <v>OPERATING_INCOME_EBIT_THIS_YEAR_VECTOR = CHECK_DIMENSION_FUNC(OPERATING_INCOME_EBIT_THIS_YEAR_RNG)</v>
      </c>
      <c r="N10" s="6" t="str">
        <f t="shared" ca="1" si="13"/>
        <v>IF UBOUND(OPERATING_INCOME_EBIT_THIS_YEAR_VECTOR,1) &lt;&gt; NROWS Then: Goto ERROR_LABEL</v>
      </c>
      <c r="P10" s="6" t="s">
        <v>98</v>
      </c>
      <c r="Q10" s="6" t="str">
        <f t="shared" ca="1" si="6"/>
        <v>Operating income EBIT - this year</v>
      </c>
      <c r="R10" s="6" t="str">
        <f t="shared" ca="1" si="9"/>
        <v>Market Capitalization,Book value of equity - this year,Book value of equity - last year,Total Debt Outstanding - this year,Total Debt Outstanding - last year,Cash and Marketable Securities - this year,Cash and Marketable Securities - last year,Revenues - this year,Revenues - last year,Operating income EBIT - this year</v>
      </c>
      <c r="S10" s="6" t="s">
        <v>98</v>
      </c>
      <c r="W10" s="11">
        <f t="shared" si="10"/>
        <v>10</v>
      </c>
      <c r="X10" s="79" t="str">
        <f t="shared" ca="1" si="8"/>
        <v>TEMP_MATRIX(i,10)=OPERATING_INCOME_EBIT_THIS_YEAR_VECTOR(i,1)</v>
      </c>
    </row>
    <row r="11" spans="1:31" outlineLevel="1">
      <c r="A11" s="78" t="str">
        <f t="shared" ca="1" si="0"/>
        <v>Operating income EBIT - last year</v>
      </c>
      <c r="B11" s="58">
        <v>1032</v>
      </c>
      <c r="D11" s="79" t="str">
        <f t="shared" ca="1" si="1"/>
        <v xml:space="preserve">'OPERATING_INCOME_EBIT_LAST_YEAR_RNG: </v>
      </c>
      <c r="E11" s="6" t="s">
        <v>505</v>
      </c>
      <c r="H11" s="6" t="str">
        <f t="shared" ca="1" si="2"/>
        <v>OPERATING_INCOME_EBIT_LAST_YEAR</v>
      </c>
      <c r="I11" s="6" t="str">
        <f t="shared" ca="1" si="3"/>
        <v>OPERATING_INCOME_EBIT_LAST_YEAR_RNG</v>
      </c>
      <c r="J11" s="79" t="str">
        <f t="shared" ca="1" si="4"/>
        <v>ByRef OPERATING_INCOME_EBIT_LAST_YEAR_RNG As Variant, _</v>
      </c>
      <c r="K11" s="6" t="str">
        <f t="shared" ca="1" si="11"/>
        <v>OPERATING_INCOME_EBIT_LAST_YEAR_VECTOR</v>
      </c>
      <c r="L11" s="79" t="str">
        <f t="shared" ca="1" si="5"/>
        <v>Dim OPERATING_INCOME_EBIT_LAST_YEAR_VECTOR as Variant</v>
      </c>
      <c r="M11" s="6" t="str">
        <f t="shared" ca="1" si="12"/>
        <v>OPERATING_INCOME_EBIT_LAST_YEAR_VECTOR = CHECK_DIMENSION_FUNC(OPERATING_INCOME_EBIT_LAST_YEAR_RNG)</v>
      </c>
      <c r="N11" s="6" t="str">
        <f t="shared" ca="1" si="13"/>
        <v>IF UBOUND(OPERATING_INCOME_EBIT_LAST_YEAR_VECTOR,1) &lt;&gt; NROWS Then: Goto ERROR_LABEL</v>
      </c>
      <c r="P11" s="6" t="s">
        <v>98</v>
      </c>
      <c r="Q11" s="6" t="str">
        <f t="shared" ca="1" si="6"/>
        <v>Operating income EBIT - last year</v>
      </c>
      <c r="R11" s="6" t="str">
        <f t="shared" ca="1" si="9"/>
        <v>Market Capitalization,Book value of equity - this year,Book value of equity - last year,Total Debt Outstanding - this year,Total Debt Outstanding - last year,Cash and Marketable Securities - this year,Cash and Marketable Securities - last year,Revenues - this year,Revenues - last year,Operating income EBIT - this year,Operating income EBIT - last year</v>
      </c>
      <c r="S11" s="6" t="s">
        <v>98</v>
      </c>
      <c r="W11" s="11">
        <f t="shared" si="10"/>
        <v>11</v>
      </c>
      <c r="X11" s="79" t="str">
        <f t="shared" ca="1" si="8"/>
        <v>TEMP_MATRIX(i,11)=OPERATING_INCOME_EBIT_LAST_YEAR_VECTOR(i,1)</v>
      </c>
    </row>
    <row r="12" spans="1:31" outlineLevel="1">
      <c r="A12" s="78" t="s">
        <v>79</v>
      </c>
      <c r="B12" s="59">
        <v>0.4</v>
      </c>
      <c r="D12" s="79" t="str">
        <f t="shared" si="1"/>
        <v>'EFFECTIVE_TAX_RATE_RNG: Effective tax rate from income statement. Divide taxes paid by taxable income.</v>
      </c>
      <c r="E12" s="6" t="s">
        <v>98</v>
      </c>
      <c r="H12" s="6" t="str">
        <f t="shared" si="2"/>
        <v>EFFECTIVE_TAX_RATE</v>
      </c>
      <c r="I12" s="6" t="str">
        <f t="shared" si="3"/>
        <v>EFFECTIVE_TAX_RATE_RNG</v>
      </c>
      <c r="J12" s="79" t="str">
        <f t="shared" si="4"/>
        <v>ByRef EFFECTIVE_TAX_RATE_RNG As Variant, _</v>
      </c>
      <c r="K12" s="6" t="str">
        <f t="shared" si="11"/>
        <v>EFFECTIVE_TAX_RATE_VECTOR</v>
      </c>
      <c r="L12" s="79" t="str">
        <f t="shared" si="5"/>
        <v>Dim EFFECTIVE_TAX_RATE_VECTOR as Variant</v>
      </c>
      <c r="M12" s="6" t="str">
        <f t="shared" si="12"/>
        <v>EFFECTIVE_TAX_RATE_VECTOR = CHECK_DIMENSION_FUNC(EFFECTIVE_TAX_RATE_RNG)</v>
      </c>
      <c r="N12" s="6" t="str">
        <f t="shared" si="13"/>
        <v>IF UBOUND(EFFECTIVE_TAX_RATE_VECTOR,1) &lt;&gt; NROWS Then: Goto ERROR_LABEL</v>
      </c>
      <c r="P12" s="6" t="s">
        <v>98</v>
      </c>
      <c r="Q12" s="6" t="str">
        <f t="shared" si="6"/>
        <v>Effective tax rate</v>
      </c>
      <c r="R12" s="6" t="str">
        <f t="shared" ca="1" si="9"/>
        <v>Market Capitalization,Book value of equity - this year,Book value of equity - last year,Total Debt Outstanding - this year,Total Debt Outstanding - last year,Cash and Marketable Securities - this year,Cash and Marketable Securities - last year,Revenues - this year,Revenues - last year,Operating income EBIT - this year,Operating income EBIT - last year,Effective tax rate</v>
      </c>
      <c r="S12" s="6" t="s">
        <v>98</v>
      </c>
      <c r="W12" s="11">
        <f t="shared" si="10"/>
        <v>12</v>
      </c>
      <c r="X12" s="79" t="str">
        <f t="shared" si="8"/>
        <v>TEMP_MATRIX(i,12)=EFFECTIVE_TAX_RATE_VECTOR(i,1)</v>
      </c>
    </row>
    <row r="13" spans="1:31" outlineLevel="1">
      <c r="A13" s="78" t="s">
        <v>21</v>
      </c>
      <c r="B13" s="58">
        <v>900</v>
      </c>
      <c r="D13" s="79" t="str">
        <f t="shared" si="1"/>
        <v>'NET_INCOME_RNG: Net income for most recent year, prior to extraordinary items.</v>
      </c>
      <c r="E13" s="6" t="s">
        <v>505</v>
      </c>
      <c r="H13" s="6" t="str">
        <f t="shared" si="2"/>
        <v>NET_INCOME</v>
      </c>
      <c r="I13" s="6" t="str">
        <f t="shared" si="3"/>
        <v>NET_INCOME_RNG</v>
      </c>
      <c r="J13" s="79" t="str">
        <f t="shared" si="4"/>
        <v>ByRef NET_INCOME_RNG As Variant, _</v>
      </c>
      <c r="K13" s="6" t="str">
        <f t="shared" si="11"/>
        <v>NET_INCOME_VECTOR</v>
      </c>
      <c r="L13" s="79" t="str">
        <f t="shared" si="5"/>
        <v>Dim NET_INCOME_VECTOR as Variant</v>
      </c>
      <c r="M13" s="6" t="str">
        <f t="shared" si="12"/>
        <v>NET_INCOME_VECTOR = CHECK_DIMENSION_FUNC(NET_INCOME_RNG)</v>
      </c>
      <c r="N13" s="6" t="str">
        <f t="shared" si="13"/>
        <v>IF UBOUND(NET_INCOME_VECTOR,1) &lt;&gt; NROWS Then: Goto ERROR_LABEL</v>
      </c>
      <c r="P13" s="6" t="s">
        <v>98</v>
      </c>
      <c r="Q13" s="6" t="str">
        <f t="shared" si="6"/>
        <v>Net Income</v>
      </c>
      <c r="R13" s="6" t="str">
        <f t="shared" ca="1" si="9"/>
        <v>Market Capitalization,Book value of equity - this year,Book value of equity - last year,Total Debt Outstanding - this year,Total Debt Outstanding - last year,Cash and Marketable Securities - this year,Cash and Marketable Securities - last year,Revenues - this year,Revenues - last year,Operating income EBIT - this year,Operating income EBIT - last year,Effective tax rate,Net Income</v>
      </c>
      <c r="S13" s="6" t="s">
        <v>98</v>
      </c>
      <c r="W13" s="11">
        <f t="shared" si="10"/>
        <v>13</v>
      </c>
      <c r="X13" s="79" t="str">
        <f t="shared" si="8"/>
        <v>TEMP_MATRIX(i,13)=NET_INCOME_VECTOR(i,1)</v>
      </c>
    </row>
    <row r="14" spans="1:31" outlineLevel="1">
      <c r="A14" s="81" t="s">
        <v>506</v>
      </c>
      <c r="B14" s="60">
        <v>0.125</v>
      </c>
      <c r="D14" s="79" t="str">
        <f t="shared" si="1"/>
        <v>'COST_OF_EQUITY_RNG: Expected compounded annual growth rate in operating income during high growth period.</v>
      </c>
      <c r="E14" s="6" t="s">
        <v>98</v>
      </c>
      <c r="H14" s="6" t="str">
        <f t="shared" si="2"/>
        <v>COST_OF_EQUITY</v>
      </c>
      <c r="I14" s="6" t="str">
        <f t="shared" si="3"/>
        <v>COST_OF_EQUITY_RNG</v>
      </c>
      <c r="J14" s="79" t="str">
        <f t="shared" si="4"/>
        <v>ByRef COST_OF_EQUITY_RNG As Variant, _</v>
      </c>
      <c r="K14" s="6" t="str">
        <f t="shared" si="11"/>
        <v>COST_OF_EQUITY_VECTOR</v>
      </c>
      <c r="L14" s="79" t="str">
        <f t="shared" si="5"/>
        <v>Dim COST_OF_EQUITY_VECTOR as Variant</v>
      </c>
      <c r="M14" s="6" t="str">
        <f t="shared" si="12"/>
        <v>COST_OF_EQUITY_VECTOR = CHECK_DIMENSION_FUNC(COST_OF_EQUITY_RNG)</v>
      </c>
      <c r="N14" s="6" t="str">
        <f t="shared" si="13"/>
        <v>IF UBOUND(COST_OF_EQUITY_VECTOR,1) &lt;&gt; NROWS Then: Goto ERROR_LABEL</v>
      </c>
      <c r="P14" s="6" t="s">
        <v>98</v>
      </c>
      <c r="Q14" s="6" t="str">
        <f t="shared" si="6"/>
        <v>Cost of equity</v>
      </c>
      <c r="R14" s="6" t="str">
        <f t="shared" ca="1" si="9"/>
        <v>Market Capitalization,Book value of equity - this year,Book value of equity - last year,Total Debt Outstanding - this year,Total Debt Outstanding - last year,Cash and Marketable Securities - this year,Cash and Marketable Securities - last year,Revenues - this year,Revenues - last year,Operating income EBIT - this year,Operating income EBIT - last year,Effective tax rate,Net Income,Cost of equity</v>
      </c>
      <c r="S14" s="6" t="s">
        <v>98</v>
      </c>
      <c r="W14" s="11">
        <f t="shared" si="10"/>
        <v>14</v>
      </c>
      <c r="X14" s="79" t="str">
        <f t="shared" si="8"/>
        <v>TEMP_MATRIX(i,14)=COST_OF_EQUITY_VECTOR(i,1)</v>
      </c>
    </row>
    <row r="15" spans="1:31" outlineLevel="1">
      <c r="A15" s="78" t="s">
        <v>80</v>
      </c>
      <c r="B15" s="60">
        <v>0.1142</v>
      </c>
      <c r="D15" s="79" t="str">
        <f>"'"&amp;I15&amp;": "&amp;RNG_COMMENT_FUNC(B15)</f>
        <v>'COST_OF_CAPITAL_RNG: While the default is set to the current ROIC, you can change it to reflect industry averages or trends you see at your company.</v>
      </c>
      <c r="E15" s="6" t="s">
        <v>98</v>
      </c>
      <c r="H15" s="6" t="str">
        <f t="shared" si="2"/>
        <v>COST_OF_CAPITAL</v>
      </c>
      <c r="I15" s="6" t="str">
        <f t="shared" si="3"/>
        <v>COST_OF_CAPITAL_RNG</v>
      </c>
      <c r="J15" s="79" t="str">
        <f t="shared" si="4"/>
        <v>ByRef COST_OF_CAPITAL_RNG As Variant, _</v>
      </c>
      <c r="K15" s="6" t="str">
        <f t="shared" si="11"/>
        <v>COST_OF_CAPITAL_VECTOR</v>
      </c>
      <c r="L15" s="79" t="str">
        <f t="shared" si="5"/>
        <v>Dim COST_OF_CAPITAL_VECTOR as Variant</v>
      </c>
      <c r="M15" s="6" t="str">
        <f t="shared" si="12"/>
        <v>COST_OF_CAPITAL_VECTOR = CHECK_DIMENSION_FUNC(COST_OF_CAPITAL_RNG)</v>
      </c>
      <c r="N15" s="6" t="str">
        <f t="shared" si="13"/>
        <v>IF UBOUND(COST_OF_CAPITAL_VECTOR,1) &lt;&gt; NROWS Then: Goto ERROR_LABEL</v>
      </c>
      <c r="P15" s="6" t="s">
        <v>98</v>
      </c>
      <c r="Q15" s="6" t="str">
        <f t="shared" si="6"/>
        <v>Cost of capital</v>
      </c>
      <c r="R15" s="6" t="str">
        <f t="shared" ca="1" si="9"/>
        <v>Market Capitalization,Book value of equity - this year,Book value of equity - last year,Total Debt Outstanding - this year,Total Debt Outstanding - last year,Cash and Marketable Securities - this year,Cash and Marketable Securities - last year,Revenues - this year,Revenues - last year,Operating income EBIT - this year,Operating income EBIT - last year,Effective tax rate,Net Income,Cost of equity,Cost of capital</v>
      </c>
      <c r="S15" s="6" t="s">
        <v>98</v>
      </c>
      <c r="W15" s="11">
        <f t="shared" si="10"/>
        <v>15</v>
      </c>
      <c r="X15" s="79" t="str">
        <f t="shared" si="8"/>
        <v>TEMP_MATRIX(i,15)=COST_OF_CAPITAL_VECTOR(i,1)</v>
      </c>
    </row>
    <row r="16" spans="1:31" outlineLevel="1">
      <c r="A16" s="78" t="s">
        <v>81</v>
      </c>
      <c r="B16" s="60">
        <v>0.02</v>
      </c>
      <c r="D16" s="79" t="str">
        <f t="shared" si="1"/>
        <v>'RISKFREE_RATE_RNG: Length of the period that you will be able to maintain high growth before becoming stable growth firm.</v>
      </c>
      <c r="E16" s="6" t="s">
        <v>98</v>
      </c>
      <c r="H16" s="6" t="str">
        <f t="shared" si="2"/>
        <v>RISKFREE_RATE</v>
      </c>
      <c r="I16" s="6" t="str">
        <f t="shared" si="3"/>
        <v>RISKFREE_RATE_RNG</v>
      </c>
      <c r="J16" s="79" t="str">
        <f t="shared" si="4"/>
        <v>ByRef RISKFREE_RATE_RNG As Variant, _</v>
      </c>
      <c r="K16" s="6" t="str">
        <f t="shared" si="11"/>
        <v>RISKFREE_RATE_VECTOR</v>
      </c>
      <c r="L16" s="79" t="str">
        <f t="shared" si="5"/>
        <v>Dim RISKFREE_RATE_VECTOR as Variant</v>
      </c>
      <c r="M16" s="6" t="str">
        <f t="shared" si="12"/>
        <v>RISKFREE_RATE_VECTOR = CHECK_DIMENSION_FUNC(RISKFREE_RATE_RNG)</v>
      </c>
      <c r="N16" s="6" t="str">
        <f t="shared" si="13"/>
        <v>IF UBOUND(RISKFREE_RATE_VECTOR,1) &lt;&gt; NROWS Then: Goto ERROR_LABEL</v>
      </c>
      <c r="P16" s="6" t="s">
        <v>98</v>
      </c>
      <c r="Q16" s="6" t="str">
        <f t="shared" si="6"/>
        <v>Riskfree rate</v>
      </c>
      <c r="R16" s="6" t="str">
        <f t="shared" ca="1" si="9"/>
        <v>Market Capitalization,Book value of equity - this year,Book value of equity - last year,Total Debt Outstanding - this year,Total Debt Outstanding - last year,Cash and Marketable Securities - this year,Cash and Marketable Securities - last year,Revenues - this year,Revenues - last year,Operating income EBIT - this year,Operating income EBIT - last year,Effective tax rate,Net Income,Cost of equity,Cost of capital,Riskfree rate</v>
      </c>
      <c r="S16" s="6" t="s">
        <v>98</v>
      </c>
      <c r="W16" s="11">
        <f t="shared" si="10"/>
        <v>16</v>
      </c>
      <c r="X16" s="79" t="str">
        <f t="shared" si="8"/>
        <v>TEMP_MATRIX(i,16)=RISKFREE_RATE_VECTOR(i,1)</v>
      </c>
    </row>
    <row r="17" spans="1:24" outlineLevel="1">
      <c r="A17" s="78" t="s">
        <v>82</v>
      </c>
      <c r="B17" s="61">
        <v>10</v>
      </c>
      <c r="D17" s="79" t="str">
        <f t="shared" si="1"/>
        <v>'LENGTH_OF_GROWTH_PERIOD_RNG: If you want to use the worksheet, you can or you can use the industry average.</v>
      </c>
      <c r="E17" s="6" t="s">
        <v>98</v>
      </c>
      <c r="H17" s="6" t="str">
        <f t="shared" si="2"/>
        <v>LENGTH_OF_GROWTH_PERIOD</v>
      </c>
      <c r="I17" s="6" t="str">
        <f t="shared" si="3"/>
        <v>LENGTH_OF_GROWTH_PERIOD_RNG</v>
      </c>
      <c r="J17" s="79" t="str">
        <f t="shared" si="4"/>
        <v>ByRef LENGTH_OF_GROWTH_PERIOD_RNG As Variant, _</v>
      </c>
      <c r="K17" s="6" t="str">
        <f t="shared" si="11"/>
        <v>LENGTH_OF_GROWTH_PERIOD_VECTOR</v>
      </c>
      <c r="L17" s="79" t="str">
        <f t="shared" si="5"/>
        <v>Dim LENGTH_OF_GROWTH_PERIOD_VECTOR as Variant</v>
      </c>
      <c r="M17" s="6" t="str">
        <f t="shared" si="12"/>
        <v>LENGTH_OF_GROWTH_PERIOD_VECTOR = CHECK_DIMENSION_FUNC(LENGTH_OF_GROWTH_PERIOD_RNG)</v>
      </c>
      <c r="N17" s="6" t="str">
        <f t="shared" si="13"/>
        <v>IF UBOUND(LENGTH_OF_GROWTH_PERIOD_VECTOR,1) &lt;&gt; NROWS Then: Goto ERROR_LABEL</v>
      </c>
      <c r="P17" s="6" t="s">
        <v>98</v>
      </c>
      <c r="Q17" s="6" t="str">
        <f t="shared" si="6"/>
        <v>Length of growth period</v>
      </c>
      <c r="R17" s="6" t="str">
        <f t="shared" ca="1" si="9"/>
        <v>Market Capitalization,Book value of equity - this year,Book value of equity - last year,Total Debt Outstanding - this year,Total Debt Outstanding - last year,Cash and Marketable Securities - this year,Cash and Marketable Securities - last year,Revenues - this year,Revenues - last year,Operating income EBIT - this year,Operating income EBIT - last year,Effective tax rate,Net Income,Cost of equity,Cost of capital,Riskfree rate,Length of growth period</v>
      </c>
      <c r="S17" s="6" t="s">
        <v>98</v>
      </c>
      <c r="W17" s="11">
        <f t="shared" si="10"/>
        <v>17</v>
      </c>
      <c r="X17" s="79" t="str">
        <f t="shared" si="8"/>
        <v>TEMP_MATRIX(i,17)=LENGTH_OF_GROWTH_PERIOD_VECTOR(i,1)</v>
      </c>
    </row>
    <row r="18" spans="1:24" outlineLevel="1">
      <c r="A18" s="78" t="s">
        <v>83</v>
      </c>
      <c r="B18" s="60">
        <v>0.27531131564699513</v>
      </c>
      <c r="D18" s="79" t="str">
        <f t="shared" si="1"/>
        <v>'RETURN_ON_INVESTED_CAPITAL_ON_GROWTH_RNG: If you want to use the worksheet, you can or you can use the industry average</v>
      </c>
      <c r="E18" s="6" t="s">
        <v>98</v>
      </c>
      <c r="H18" s="6" t="str">
        <f t="shared" si="2"/>
        <v>RETURN_ON_INVESTED_CAPITAL_ON_GROWTH</v>
      </c>
      <c r="I18" s="6" t="str">
        <f t="shared" si="3"/>
        <v>RETURN_ON_INVESTED_CAPITAL_ON_GROWTH_RNG</v>
      </c>
      <c r="J18" s="79" t="str">
        <f t="shared" si="4"/>
        <v>ByRef RETURN_ON_INVESTED_CAPITAL_ON_GROWTH_RNG As Variant, _</v>
      </c>
      <c r="K18" s="6" t="str">
        <f t="shared" si="11"/>
        <v>RETURN_ON_INVESTED_CAPITAL_ON_GROWTH_VECTOR</v>
      </c>
      <c r="L18" s="79" t="str">
        <f t="shared" si="5"/>
        <v>Dim RETURN_ON_INVESTED_CAPITAL_ON_GROWTH_VECTOR as Variant</v>
      </c>
      <c r="M18" s="6" t="str">
        <f t="shared" si="12"/>
        <v>RETURN_ON_INVESTED_CAPITAL_ON_GROWTH_VECTOR = CHECK_DIMENSION_FUNC(RETURN_ON_INVESTED_CAPITAL_ON_GROWTH_RNG)</v>
      </c>
      <c r="N18" s="6" t="str">
        <f t="shared" si="13"/>
        <v>IF UBOUND(RETURN_ON_INVESTED_CAPITAL_ON_GROWTH_VECTOR,1) &lt;&gt; NROWS Then: Goto ERROR_LABEL</v>
      </c>
      <c r="P18" s="6" t="s">
        <v>98</v>
      </c>
      <c r="Q18" s="6" t="str">
        <f t="shared" si="6"/>
        <v>Return on Invested capital on growth</v>
      </c>
      <c r="R18" s="6" t="str">
        <f t="shared" ca="1" si="9"/>
        <v>Market Capitalization,Book value of equity - this year,Book value of equity - last year,Total Debt Outstanding - this year,Total Debt Outstanding - last year,Cash and Marketable Securities - this year,Cash and Marketable Securities - last year,Revenues - this year,Revenues - last year,Operating income EBIT - this year,Operating income EBIT - last year,Effective tax rate,Net Income,Cost of equity,Cost of capital,Riskfree rate,Length of growth period,Return on Invested capital on growth</v>
      </c>
      <c r="S18" s="6" t="s">
        <v>98</v>
      </c>
      <c r="W18" s="11">
        <f t="shared" si="10"/>
        <v>18</v>
      </c>
      <c r="X18" s="79" t="str">
        <f t="shared" si="8"/>
        <v>TEMP_MATRIX(i,18)=RETURN_ON_INVESTED_CAPITAL_ON_GROWTH_VECTOR(i,1)</v>
      </c>
    </row>
    <row r="19" spans="1:24" outlineLevel="1">
      <c r="A19" s="78" t="s">
        <v>85</v>
      </c>
      <c r="B19" s="82">
        <f>B15</f>
        <v>0.1142</v>
      </c>
      <c r="D19" s="79" t="str">
        <f t="shared" si="1"/>
        <v>'EXPECTED_GROWTH_RATE_IN_OPERATING_INCOME_RNG: Long term riskfree rate in the currency of valuation.</v>
      </c>
      <c r="E19" s="6" t="s">
        <v>98</v>
      </c>
      <c r="H19" s="6" t="str">
        <f t="shared" si="2"/>
        <v>EXPECTED_GROWTH_RATE_IN_OPERATING_INCOME</v>
      </c>
      <c r="I19" s="6" t="str">
        <f t="shared" si="3"/>
        <v>EXPECTED_GROWTH_RATE_IN_OPERATING_INCOME_RNG</v>
      </c>
      <c r="J19" s="79" t="str">
        <f t="shared" si="4"/>
        <v>ByRef EXPECTED_GROWTH_RATE_IN_OPERATING_INCOME_RNG As Variant, _</v>
      </c>
      <c r="K19" s="6" t="str">
        <f t="shared" si="11"/>
        <v>EXPECTED_GROWTH_RATE_IN_OPERATING_INCOME_VECTOR</v>
      </c>
      <c r="L19" s="79" t="str">
        <f t="shared" si="5"/>
        <v>Dim EXPECTED_GROWTH_RATE_IN_OPERATING_INCOME_VECTOR as Variant</v>
      </c>
      <c r="M19" s="6" t="str">
        <f t="shared" si="12"/>
        <v>EXPECTED_GROWTH_RATE_IN_OPERATING_INCOME_VECTOR = CHECK_DIMENSION_FUNC(EXPECTED_GROWTH_RATE_IN_OPERATING_INCOME_RNG)</v>
      </c>
      <c r="N19" s="6" t="str">
        <f>"IF UBOUND("&amp;K19&amp;",1) &lt;&gt; NROWS Then: Goto ERROR_LABEL"</f>
        <v>IF UBOUND(EXPECTED_GROWTH_RATE_IN_OPERATING_INCOME_VECTOR,1) &lt;&gt; NROWS Then: Goto ERROR_LABEL</v>
      </c>
      <c r="P19" s="6" t="s">
        <v>98</v>
      </c>
      <c r="Q19" s="6" t="str">
        <f t="shared" si="6"/>
        <v>Expected growth rate in operating income</v>
      </c>
      <c r="R19" s="6" t="str">
        <f t="shared" ca="1" si="9"/>
        <v>Market Capitalization,Book value of equity - this year,Book value of equity - last year,Total Debt Outstanding - this year,Total Debt Outstanding - last year,Cash and Marketable Securities - this year,Cash and Marketable Securities - last year,Revenues - this year,Revenues - last year,Operating income EBIT - this year,Operating income EBIT - last year,Effective tax rate,Net Income,Cost of equity,Cost of capital,Riskfree rate,Length of growth period,Return on Invested capital on growth,Expected growth rate in operating income</v>
      </c>
      <c r="S19" s="6" t="s">
        <v>98</v>
      </c>
      <c r="W19" s="11">
        <f t="shared" si="10"/>
        <v>19</v>
      </c>
      <c r="X19" s="79" t="str">
        <f t="shared" si="8"/>
        <v>TEMP_MATRIX(i,19)=EXPECTED_GROWTH_RATE_IN_OPERATING_INCOME_VECTOR(i,1)</v>
      </c>
    </row>
    <row r="20" spans="1:24" outlineLevel="1">
      <c r="A20" s="83" t="s">
        <v>507</v>
      </c>
      <c r="B20" s="84">
        <f>B13/B3</f>
        <v>0.21624219125420471</v>
      </c>
      <c r="P20" s="80" t="s">
        <v>504</v>
      </c>
      <c r="Q20" s="6" t="str">
        <f t="shared" si="6"/>
        <v>ROE</v>
      </c>
      <c r="R20" s="6" t="str">
        <f>Q20</f>
        <v>ROE</v>
      </c>
      <c r="S20" s="6" t="s">
        <v>98</v>
      </c>
    </row>
    <row r="21" spans="1:24" outlineLevel="1">
      <c r="A21" s="83" t="s">
        <v>508</v>
      </c>
      <c r="B21" s="84">
        <f>B10*(1-B12)/(B3+B5-B7)</f>
        <v>0.27531131564699513</v>
      </c>
      <c r="K21" s="6">
        <v>0</v>
      </c>
      <c r="L21" s="6">
        <v>0</v>
      </c>
      <c r="M21" s="79" t="str">
        <f t="shared" ref="M21:M76" ca="1" si="14">IF(K21="","",OFFSET($M$1,$K21,$L21))</f>
        <v>MARKET_CAPITALIZATION_VECTOR = CHECK_DIMENSION_FUNC(MARKET_CAPITALIZATION_RNG)</v>
      </c>
      <c r="P21" s="6" t="s">
        <v>98</v>
      </c>
      <c r="Q21" s="6" t="str">
        <f t="shared" si="6"/>
        <v>ROIC</v>
      </c>
      <c r="R21" s="6" t="str">
        <f>R20&amp;","&amp;Q21</f>
        <v>ROE,ROIC</v>
      </c>
      <c r="S21" s="6" t="s">
        <v>98</v>
      </c>
      <c r="X21" s="85"/>
    </row>
    <row r="22" spans="1:24" outlineLevel="1">
      <c r="A22" s="83" t="s">
        <v>509</v>
      </c>
      <c r="B22" s="84">
        <f>B13/B8</f>
        <v>0.24252223120452709</v>
      </c>
      <c r="K22" s="6">
        <v>0</v>
      </c>
      <c r="L22" s="6">
        <v>1</v>
      </c>
      <c r="M22" s="79" t="str">
        <f t="shared" ca="1" si="14"/>
        <v>NROWS = UBOUND(MARKET_CAPITALIZATION_VECTOR,1)</v>
      </c>
      <c r="P22" s="6" t="s">
        <v>98</v>
      </c>
      <c r="Q22" s="6" t="str">
        <f t="shared" si="6"/>
        <v>Net margin</v>
      </c>
      <c r="R22" s="6" t="str">
        <f t="shared" ref="R22:R35" si="15">R21&amp;","&amp;Q22</f>
        <v>ROE,ROIC,Net margin</v>
      </c>
      <c r="S22" s="6" t="s">
        <v>98</v>
      </c>
      <c r="X22" s="86"/>
    </row>
    <row r="23" spans="1:24" outlineLevel="1">
      <c r="A23" s="83" t="s">
        <v>510</v>
      </c>
      <c r="B23" s="84">
        <f>B10*(1-B12)/B8</f>
        <v>0.27405012126111561</v>
      </c>
      <c r="D23" s="87">
        <v>1</v>
      </c>
      <c r="E23" s="87">
        <v>1</v>
      </c>
      <c r="F23" s="88" t="s">
        <v>4</v>
      </c>
      <c r="G23" s="6" t="s">
        <v>98</v>
      </c>
      <c r="L23" s="6" t="s">
        <v>98</v>
      </c>
      <c r="M23" s="79" t="str">
        <f t="shared" ca="1" si="14"/>
        <v/>
      </c>
      <c r="P23" s="6" t="s">
        <v>98</v>
      </c>
      <c r="Q23" s="6" t="str">
        <f t="shared" si="6"/>
        <v>Pre-tax operating margin</v>
      </c>
      <c r="R23" s="6" t="str">
        <f t="shared" si="15"/>
        <v>ROE,ROIC,Net margin,Pre-tax operating margin</v>
      </c>
      <c r="S23" s="6" t="s">
        <v>98</v>
      </c>
      <c r="X23" s="86"/>
    </row>
    <row r="24" spans="1:24" outlineLevel="1">
      <c r="A24" s="83" t="s">
        <v>511</v>
      </c>
      <c r="B24" s="84">
        <f>B4/B2</f>
        <v>0.23240244835501148</v>
      </c>
      <c r="D24" s="87">
        <v>1</v>
      </c>
      <c r="E24" s="87">
        <v>2</v>
      </c>
      <c r="F24" s="88" t="s">
        <v>5</v>
      </c>
      <c r="K24" s="6">
        <f>K21+1</f>
        <v>1</v>
      </c>
      <c r="L24" s="6">
        <v>0</v>
      </c>
      <c r="M24" s="79" t="str">
        <f t="shared" ca="1" si="14"/>
        <v>BOOK_VALUE_OF_EQUITY_THIS_YEAR_VECTOR = CHECK_DIMENSION_FUNC(BOOK_VALUE_OF_EQUITY_THIS_YEAR_RNG)</v>
      </c>
      <c r="P24" s="6" t="s">
        <v>98</v>
      </c>
      <c r="Q24" s="6" t="str">
        <f t="shared" si="6"/>
        <v>D/E ratio (book)</v>
      </c>
      <c r="R24" s="6" t="str">
        <f t="shared" si="15"/>
        <v>ROE,ROIC,Net margin,Pre-tax operating margin,D/E ratio (book)</v>
      </c>
      <c r="S24" s="6" t="s">
        <v>98</v>
      </c>
      <c r="X24" s="86"/>
    </row>
    <row r="25" spans="1:24" outlineLevel="1">
      <c r="A25" s="83" t="s">
        <v>512</v>
      </c>
      <c r="B25" s="84">
        <f>B4/B1</f>
        <v>1.7357142857142856E-2</v>
      </c>
      <c r="D25" s="87">
        <f>D23+1</f>
        <v>2</v>
      </c>
      <c r="E25" s="87">
        <v>1</v>
      </c>
      <c r="F25" s="88"/>
      <c r="K25" s="6">
        <f>K22+1</f>
        <v>1</v>
      </c>
      <c r="L25" s="6">
        <v>1</v>
      </c>
      <c r="M25" s="79" t="str">
        <f t="shared" ca="1" si="14"/>
        <v>IF UBOUND(BOOK_VALUE_OF_EQUITY_THIS_YEAR_VECTOR,1) &lt;&gt; NROWS Then: Goto ERROR_LABEL</v>
      </c>
      <c r="P25" s="6" t="s">
        <v>98</v>
      </c>
      <c r="Q25" s="6" t="str">
        <f t="shared" si="6"/>
        <v>D/E ratio (market)</v>
      </c>
      <c r="R25" s="6" t="str">
        <f t="shared" si="15"/>
        <v>ROE,ROIC,Net margin,Pre-tax operating margin,D/E ratio (book),D/E ratio (market)</v>
      </c>
      <c r="S25" s="6" t="s">
        <v>98</v>
      </c>
    </row>
    <row r="26" spans="1:24" outlineLevel="1">
      <c r="A26" s="83" t="s">
        <v>18</v>
      </c>
      <c r="B26" s="89">
        <f>B8/B9-1</f>
        <v>0.87993920972644379</v>
      </c>
      <c r="D26" s="87">
        <f>D25</f>
        <v>2</v>
      </c>
      <c r="E26" s="87">
        <v>2</v>
      </c>
      <c r="F26" s="88"/>
      <c r="G26" s="6" t="s">
        <v>98</v>
      </c>
      <c r="M26" s="79" t="str">
        <f t="shared" ca="1" si="14"/>
        <v/>
      </c>
      <c r="P26" s="6" t="s">
        <v>98</v>
      </c>
      <c r="Q26" s="6" t="str">
        <f t="shared" si="6"/>
        <v>Growth rate (revenue)</v>
      </c>
      <c r="R26" s="6" t="str">
        <f t="shared" si="15"/>
        <v>ROE,ROIC,Net margin,Pre-tax operating margin,D/E ratio (book),D/E ratio (market),Growth rate (revenue)</v>
      </c>
      <c r="S26" s="6" t="s">
        <v>98</v>
      </c>
    </row>
    <row r="27" spans="1:24" outlineLevel="1">
      <c r="A27" s="83" t="s">
        <v>20</v>
      </c>
      <c r="B27" s="89">
        <f>(B10/B11)-1</f>
        <v>0.64244186046511631</v>
      </c>
      <c r="D27" s="87">
        <f>D25+1</f>
        <v>3</v>
      </c>
      <c r="E27" s="87">
        <v>1</v>
      </c>
      <c r="F27" s="88" t="s">
        <v>7</v>
      </c>
      <c r="G27" s="6" t="s">
        <v>98</v>
      </c>
      <c r="K27" s="6">
        <f t="shared" ref="K27:K76" si="16">K24+1</f>
        <v>2</v>
      </c>
      <c r="L27" s="6">
        <v>0</v>
      </c>
      <c r="M27" s="79" t="str">
        <f t="shared" ca="1" si="14"/>
        <v>BOOK_VALUE_OF_EQUITY_LAST_YEAR_VECTOR = CHECK_DIMENSION_FUNC(BOOK_VALUE_OF_EQUITY_LAST_YEAR_RNG)</v>
      </c>
      <c r="P27" s="6" t="s">
        <v>98</v>
      </c>
      <c r="Q27" s="6" t="str">
        <f t="shared" si="6"/>
        <v>Growth rate (EBIT)</v>
      </c>
      <c r="R27" s="6" t="str">
        <f t="shared" si="15"/>
        <v>ROE,ROIC,Net margin,Pre-tax operating margin,D/E ratio (book),D/E ratio (market),Growth rate (revenue),Growth rate (EBIT)</v>
      </c>
      <c r="S27" s="6" t="s">
        <v>98</v>
      </c>
    </row>
    <row r="28" spans="1:24" outlineLevel="1">
      <c r="A28" s="90" t="s">
        <v>35</v>
      </c>
      <c r="B28" s="62">
        <f>B10*(1-B12)/B15</f>
        <v>8905.4290718038537</v>
      </c>
      <c r="D28" s="87">
        <f>D27</f>
        <v>3</v>
      </c>
      <c r="E28" s="87">
        <v>2</v>
      </c>
      <c r="F28" s="88" t="s">
        <v>9</v>
      </c>
      <c r="G28" s="6" t="s">
        <v>98</v>
      </c>
      <c r="K28" s="6">
        <f t="shared" si="16"/>
        <v>2</v>
      </c>
      <c r="L28" s="6">
        <v>1</v>
      </c>
      <c r="M28" s="79" t="str">
        <f t="shared" ca="1" si="14"/>
        <v>IF UBOUND(BOOK_VALUE_OF_EQUITY_LAST_YEAR_VECTOR,1) &lt;&gt; NROWS Then: Goto ERROR_LABEL</v>
      </c>
      <c r="P28" s="80" t="s">
        <v>504</v>
      </c>
      <c r="Q28" s="6" t="str">
        <f t="shared" si="6"/>
        <v>Value of assets in place</v>
      </c>
      <c r="R28" s="6" t="str">
        <f>Q28</f>
        <v>Value of assets in place</v>
      </c>
      <c r="S28" s="6" t="s">
        <v>98</v>
      </c>
    </row>
    <row r="29" spans="1:24" outlineLevel="1">
      <c r="A29" s="90" t="s">
        <v>513</v>
      </c>
      <c r="B29" s="91">
        <f>IF(B19="",GROWTH_WORTH_SOLVER_FUNC(B1,B4,B6,B10,B12,B18,B17,B15,B16,"",1),B19)</f>
        <v>0.1142</v>
      </c>
      <c r="D29" s="87">
        <f>D27+1</f>
        <v>4</v>
      </c>
      <c r="E29" s="87">
        <v>1</v>
      </c>
      <c r="F29" s="88" t="s">
        <v>514</v>
      </c>
      <c r="G29" s="6" t="s">
        <v>98</v>
      </c>
      <c r="M29" s="79" t="str">
        <f t="shared" ca="1" si="14"/>
        <v/>
      </c>
      <c r="P29" s="6" t="s">
        <v>98</v>
      </c>
      <c r="Q29" s="6" t="str">
        <f t="shared" si="6"/>
        <v>Expected growth rate in operating income</v>
      </c>
      <c r="R29" s="6" t="str">
        <f>R28&amp;","&amp;Q29</f>
        <v>Value of assets in place,Expected growth rate in operating income</v>
      </c>
      <c r="S29" s="6" t="s">
        <v>98</v>
      </c>
    </row>
    <row r="30" spans="1:24" outlineLevel="1">
      <c r="A30" s="90" t="s">
        <v>37</v>
      </c>
      <c r="B30" s="65">
        <f>GROWTH_WORTH_SOLVER_FUNC(B1,B4,B6,B10,B12,B18,B17,B15,B16,B29)</f>
        <v>5951.4519999999993</v>
      </c>
      <c r="D30" s="87">
        <f>D29</f>
        <v>4</v>
      </c>
      <c r="E30" s="87">
        <v>2</v>
      </c>
      <c r="F30" s="92" t="s">
        <v>515</v>
      </c>
      <c r="G30" s="6" t="s">
        <v>98</v>
      </c>
      <c r="K30" s="6">
        <f t="shared" si="16"/>
        <v>3</v>
      </c>
      <c r="L30" s="6">
        <v>0</v>
      </c>
      <c r="M30" s="79" t="str">
        <f t="shared" ca="1" si="14"/>
        <v>TOTAL_DEBT_OUTSTANDING_THIS_YEAR_VECTOR = CHECK_DIMENSION_FUNC(TOTAL_DEBT_OUTSTANDING_THIS_YEAR_RNG)</v>
      </c>
      <c r="P30" s="6" t="s">
        <v>98</v>
      </c>
      <c r="Q30" s="6" t="str">
        <f t="shared" si="6"/>
        <v>Value added by future growth</v>
      </c>
      <c r="R30" s="6" t="str">
        <f t="shared" si="15"/>
        <v>Value of assets in place,Expected growth rate in operating income,Value added by future growth</v>
      </c>
      <c r="S30" s="6" t="s">
        <v>98</v>
      </c>
    </row>
    <row r="31" spans="1:24" outlineLevel="1">
      <c r="A31" s="90" t="s">
        <v>39</v>
      </c>
      <c r="B31" s="65">
        <f>B28+B30</f>
        <v>14856.881071803853</v>
      </c>
      <c r="D31" s="87">
        <f>D29+1</f>
        <v>5</v>
      </c>
      <c r="E31" s="87">
        <v>1</v>
      </c>
      <c r="F31" s="88" t="s">
        <v>516</v>
      </c>
      <c r="G31" s="6" t="s">
        <v>98</v>
      </c>
      <c r="K31" s="6">
        <f t="shared" si="16"/>
        <v>3</v>
      </c>
      <c r="L31" s="6">
        <v>1</v>
      </c>
      <c r="M31" s="79" t="str">
        <f t="shared" ca="1" si="14"/>
        <v>IF UBOUND(TOTAL_DEBT_OUTSTANDING_THIS_YEAR_VECTOR,1) &lt;&gt; NROWS Then: Goto ERROR_LABEL</v>
      </c>
      <c r="P31" s="6" t="s">
        <v>98</v>
      </c>
      <c r="Q31" s="6" t="str">
        <f t="shared" si="6"/>
        <v>Intrinsic enterprise value</v>
      </c>
      <c r="R31" s="6" t="str">
        <f t="shared" si="15"/>
        <v>Value of assets in place,Expected growth rate in operating income,Value added by future growth,Intrinsic enterprise value</v>
      </c>
      <c r="S31" s="6" t="s">
        <v>98</v>
      </c>
    </row>
    <row r="32" spans="1:24" outlineLevel="1">
      <c r="A32" s="90" t="s">
        <v>40</v>
      </c>
      <c r="B32" s="65">
        <f>B31-B4+B6</f>
        <v>15153.881071803853</v>
      </c>
      <c r="D32" s="87">
        <f>D31</f>
        <v>5</v>
      </c>
      <c r="E32" s="87">
        <v>2</v>
      </c>
      <c r="F32" s="88"/>
      <c r="G32" s="6" t="s">
        <v>98</v>
      </c>
      <c r="M32" s="79" t="str">
        <f t="shared" ca="1" si="14"/>
        <v/>
      </c>
      <c r="P32" s="6" t="s">
        <v>98</v>
      </c>
      <c r="Q32" s="6" t="str">
        <f t="shared" si="6"/>
        <v>Intrinsic equity value</v>
      </c>
      <c r="R32" s="6" t="str">
        <f t="shared" si="15"/>
        <v>Value of assets in place,Expected growth rate in operating income,Value added by future growth,Intrinsic enterprise value,Intrinsic equity value</v>
      </c>
      <c r="S32" s="6" t="s">
        <v>98</v>
      </c>
    </row>
    <row r="33" spans="1:19" outlineLevel="1">
      <c r="A33" s="93" t="s">
        <v>42</v>
      </c>
      <c r="B33" s="65">
        <f>(B1+B4-B6-B28)</f>
        <v>60797.570928196146</v>
      </c>
      <c r="K33" s="6">
        <f t="shared" si="16"/>
        <v>4</v>
      </c>
      <c r="L33" s="6">
        <v>0</v>
      </c>
      <c r="M33" s="79" t="str">
        <f t="shared" ca="1" si="14"/>
        <v>TOTAL_DEBT_OUTSTANDING_LAST_YEAR_VECTOR = CHECK_DIMENSION_FUNC(TOTAL_DEBT_OUTSTANDING_LAST_YEAR_RNG)</v>
      </c>
      <c r="P33" s="80" t="s">
        <v>504</v>
      </c>
      <c r="Q33" s="6" t="str">
        <f t="shared" si="6"/>
        <v>Price you are paying for growth</v>
      </c>
      <c r="R33" s="6" t="str">
        <f>Q33</f>
        <v>Price you are paying for growth</v>
      </c>
      <c r="S33" s="6" t="s">
        <v>98</v>
      </c>
    </row>
    <row r="34" spans="1:19" outlineLevel="1">
      <c r="A34" s="93" t="s">
        <v>43</v>
      </c>
      <c r="B34" s="65">
        <f>B30</f>
        <v>5951.4519999999993</v>
      </c>
      <c r="K34" s="6">
        <f t="shared" si="16"/>
        <v>4</v>
      </c>
      <c r="L34" s="6">
        <v>1</v>
      </c>
      <c r="M34" s="79" t="str">
        <f t="shared" ca="1" si="14"/>
        <v>IF UBOUND(TOTAL_DEBT_OUTSTANDING_LAST_YEAR_VECTOR,1) &lt;&gt; NROWS Then: Goto ERROR_LABEL</v>
      </c>
      <c r="P34" s="6" t="s">
        <v>98</v>
      </c>
      <c r="Q34" s="6" t="str">
        <f t="shared" si="6"/>
        <v>Value of this growth</v>
      </c>
      <c r="R34" s="6" t="str">
        <f>R33&amp;","&amp;Q34</f>
        <v>Price you are paying for growth,Value of this growth</v>
      </c>
      <c r="S34" s="6" t="s">
        <v>98</v>
      </c>
    </row>
    <row r="35" spans="1:19" outlineLevel="1">
      <c r="A35" s="93" t="s">
        <v>44</v>
      </c>
      <c r="B35" s="89">
        <f>IF(B34=0,0,B33/B34)</f>
        <v>10.215586201181855</v>
      </c>
      <c r="M35" s="79" t="str">
        <f t="shared" ca="1" si="14"/>
        <v/>
      </c>
      <c r="P35" s="6" t="s">
        <v>98</v>
      </c>
      <c r="Q35" s="6" t="str">
        <f t="shared" si="6"/>
        <v>Price of growth/ Value of growth</v>
      </c>
      <c r="R35" s="6" t="str">
        <f t="shared" si="15"/>
        <v>Price you are paying for growth,Value of this growth,Price of growth/ Value of growth</v>
      </c>
      <c r="S35" s="6" t="s">
        <v>98</v>
      </c>
    </row>
    <row r="36" spans="1:19" outlineLevel="1">
      <c r="A36" s="94" t="s">
        <v>36</v>
      </c>
      <c r="B36" s="62">
        <f>B1</f>
        <v>70000</v>
      </c>
      <c r="K36" s="6">
        <f t="shared" si="16"/>
        <v>5</v>
      </c>
      <c r="L36" s="6">
        <v>0</v>
      </c>
      <c r="M36" s="79" t="str">
        <f t="shared" ca="1" si="14"/>
        <v>CASH_AND_MARKETABLE_SECURITIES_THIS_YEAR_VECTOR = CHECK_DIMENSION_FUNC(CASH_AND_MARKETABLE_SECURITIES_THIS_YEAR_RNG)</v>
      </c>
      <c r="P36" s="80" t="s">
        <v>504</v>
      </c>
      <c r="Q36" s="6" t="str">
        <f t="shared" si="6"/>
        <v>Market value of equity</v>
      </c>
      <c r="R36" s="6" t="str">
        <f>Q36</f>
        <v>Market value of equity</v>
      </c>
      <c r="S36" s="6" t="s">
        <v>98</v>
      </c>
    </row>
    <row r="37" spans="1:19" outlineLevel="1">
      <c r="A37" s="94" t="s">
        <v>38</v>
      </c>
      <c r="B37" s="62">
        <f>B1+B4-B6</f>
        <v>69703</v>
      </c>
      <c r="K37" s="6">
        <f t="shared" si="16"/>
        <v>5</v>
      </c>
      <c r="L37" s="6">
        <v>1</v>
      </c>
      <c r="M37" s="79" t="str">
        <f t="shared" ca="1" si="14"/>
        <v>IF UBOUND(CASH_AND_MARKETABLE_SECURITIES_THIS_YEAR_VECTOR,1) &lt;&gt; NROWS Then: Goto ERROR_LABEL</v>
      </c>
      <c r="P37" s="6" t="s">
        <v>98</v>
      </c>
      <c r="Q37" s="6" t="str">
        <f t="shared" si="6"/>
        <v>Enterprise value</v>
      </c>
      <c r="R37" s="6" t="str">
        <f>R36&amp;","&amp;Q37</f>
        <v>Market value of equity,Enterprise value</v>
      </c>
      <c r="S37" s="6" t="s">
        <v>98</v>
      </c>
    </row>
    <row r="38" spans="1:19" outlineLevel="1">
      <c r="A38" s="79" t="str">
        <f t="shared" ref="A38:A61" ca="1" si="17">OFFSET($D$46,$E38-1,0)&amp;": "&amp;OFFSET($D$42,$G38-1,0)&amp;" - "&amp;OFFSET($D$39,$F38-1,0)</f>
        <v>P/E: Total - Actual</v>
      </c>
      <c r="B38" s="95">
        <f>B1/B13</f>
        <v>77.777777777777771</v>
      </c>
      <c r="D38" s="78"/>
      <c r="E38" s="96">
        <v>1</v>
      </c>
      <c r="F38" s="96">
        <v>1</v>
      </c>
      <c r="G38" s="96">
        <v>1</v>
      </c>
      <c r="M38" s="79" t="str">
        <f t="shared" ca="1" si="14"/>
        <v/>
      </c>
      <c r="P38" s="80" t="s">
        <v>504</v>
      </c>
      <c r="Q38" s="6" t="str">
        <f t="shared" ca="1" si="6"/>
        <v>P/E: Total - Actual</v>
      </c>
      <c r="R38" s="6" t="str">
        <f ca="1">Q38</f>
        <v>P/E: Total - Actual</v>
      </c>
      <c r="S38" s="6" t="s">
        <v>98</v>
      </c>
    </row>
    <row r="39" spans="1:19" outlineLevel="1">
      <c r="A39" s="79" t="str">
        <f t="shared" ca="1" si="17"/>
        <v>P/E: Total - Intrinsic</v>
      </c>
      <c r="B39" s="95">
        <f>(B30+B28-B4+B6)/B13</f>
        <v>16.837645635337616</v>
      </c>
      <c r="D39" s="78" t="s">
        <v>46</v>
      </c>
      <c r="E39" s="96">
        <v>1</v>
      </c>
      <c r="F39" s="96">
        <v>2</v>
      </c>
      <c r="G39" s="96">
        <v>1</v>
      </c>
      <c r="K39" s="6">
        <f t="shared" si="16"/>
        <v>6</v>
      </c>
      <c r="L39" s="6">
        <v>0</v>
      </c>
      <c r="M39" s="79" t="str">
        <f t="shared" ca="1" si="14"/>
        <v>CASH_AND_MARKETABLE_SECURITIES_LAST_YEAR_VECTOR = CHECK_DIMENSION_FUNC(CASH_AND_MARKETABLE_SECURITIES_LAST_YEAR_RNG)</v>
      </c>
      <c r="P39" s="6" t="s">
        <v>98</v>
      </c>
      <c r="Q39" s="6" t="str">
        <f t="shared" ca="1" si="6"/>
        <v>P/E: Total - Intrinsic</v>
      </c>
      <c r="R39" s="6" t="str">
        <f ca="1">R38&amp;","&amp;Q39</f>
        <v>P/E: Total - Actual,P/E: Total - Intrinsic</v>
      </c>
      <c r="S39" s="6" t="s">
        <v>98</v>
      </c>
    </row>
    <row r="40" spans="1:19" outlineLevel="1">
      <c r="A40" s="79" t="str">
        <f t="shared" ca="1" si="17"/>
        <v>P/E: Assets in Place - Actual</v>
      </c>
      <c r="B40" s="95">
        <f>(B28-B4+B6)/B13</f>
        <v>10.224921190893172</v>
      </c>
      <c r="D40" s="78" t="s">
        <v>47</v>
      </c>
      <c r="E40" s="96">
        <v>1</v>
      </c>
      <c r="F40" s="96">
        <v>1</v>
      </c>
      <c r="G40" s="96">
        <v>2</v>
      </c>
      <c r="K40" s="6">
        <f t="shared" si="16"/>
        <v>6</v>
      </c>
      <c r="L40" s="6">
        <v>1</v>
      </c>
      <c r="M40" s="79" t="str">
        <f t="shared" ca="1" si="14"/>
        <v>IF UBOUND(CASH_AND_MARKETABLE_SECURITIES_LAST_YEAR_VECTOR,1) &lt;&gt; NROWS Then: Goto ERROR_LABEL</v>
      </c>
      <c r="P40" s="6" t="s">
        <v>98</v>
      </c>
      <c r="Q40" s="6" t="str">
        <f t="shared" ca="1" si="6"/>
        <v>P/E: Assets in Place - Actual</v>
      </c>
      <c r="R40" s="6" t="str">
        <f t="shared" ref="R40:R61" ca="1" si="18">R39&amp;","&amp;Q40</f>
        <v>P/E: Total - Actual,P/E: Total - Intrinsic,P/E: Assets in Place - Actual</v>
      </c>
      <c r="S40" s="6" t="s">
        <v>98</v>
      </c>
    </row>
    <row r="41" spans="1:19" outlineLevel="1">
      <c r="A41" s="79" t="str">
        <f t="shared" ca="1" si="17"/>
        <v>P/E: Assets in Place - Intrinsic</v>
      </c>
      <c r="B41" s="95">
        <f>B40</f>
        <v>10.224921190893172</v>
      </c>
      <c r="D41" s="78"/>
      <c r="E41" s="96">
        <v>1</v>
      </c>
      <c r="F41" s="96">
        <v>2</v>
      </c>
      <c r="G41" s="96">
        <v>2</v>
      </c>
      <c r="M41" s="79" t="str">
        <f t="shared" ca="1" si="14"/>
        <v/>
      </c>
      <c r="P41" s="6" t="s">
        <v>98</v>
      </c>
      <c r="Q41" s="6" t="str">
        <f t="shared" ca="1" si="6"/>
        <v>P/E: Assets in Place - Intrinsic</v>
      </c>
      <c r="R41" s="6" t="str">
        <f t="shared" ca="1" si="18"/>
        <v>P/E: Total - Actual,P/E: Total - Intrinsic,P/E: Assets in Place - Actual,P/E: Assets in Place - Intrinsic</v>
      </c>
      <c r="S41" s="6" t="s">
        <v>98</v>
      </c>
    </row>
    <row r="42" spans="1:19" outlineLevel="1">
      <c r="A42" s="79" t="str">
        <f t="shared" ca="1" si="17"/>
        <v>P/E: Growth - Actual</v>
      </c>
      <c r="B42" s="95">
        <f>B38-B40</f>
        <v>67.552856586884602</v>
      </c>
      <c r="D42" s="78" t="s">
        <v>48</v>
      </c>
      <c r="E42" s="96">
        <v>1</v>
      </c>
      <c r="F42" s="96">
        <v>1</v>
      </c>
      <c r="G42" s="96">
        <v>3</v>
      </c>
      <c r="K42" s="6">
        <f t="shared" si="16"/>
        <v>7</v>
      </c>
      <c r="L42" s="6">
        <v>0</v>
      </c>
      <c r="M42" s="79" t="str">
        <f t="shared" ca="1" si="14"/>
        <v>REVENUES_THIS_YEAR_VECTOR = CHECK_DIMENSION_FUNC(REVENUES_THIS_YEAR_RNG)</v>
      </c>
      <c r="P42" s="6" t="s">
        <v>98</v>
      </c>
      <c r="Q42" s="6" t="str">
        <f t="shared" ca="1" si="6"/>
        <v>P/E: Growth - Actual</v>
      </c>
      <c r="R42" s="6" t="str">
        <f t="shared" ca="1" si="18"/>
        <v>P/E: Total - Actual,P/E: Total - Intrinsic,P/E: Assets in Place - Actual,P/E: Assets in Place - Intrinsic,P/E: Growth - Actual</v>
      </c>
      <c r="S42" s="6" t="s">
        <v>98</v>
      </c>
    </row>
    <row r="43" spans="1:19" outlineLevel="1">
      <c r="A43" s="79" t="str">
        <f t="shared" ca="1" si="17"/>
        <v>P/E: Growth - Intrinsic</v>
      </c>
      <c r="B43" s="95">
        <f>B39-B41</f>
        <v>6.612724444444444</v>
      </c>
      <c r="D43" s="78" t="s">
        <v>49</v>
      </c>
      <c r="E43" s="96">
        <v>1</v>
      </c>
      <c r="F43" s="96">
        <v>2</v>
      </c>
      <c r="G43" s="96">
        <v>3</v>
      </c>
      <c r="K43" s="6">
        <f t="shared" si="16"/>
        <v>7</v>
      </c>
      <c r="L43" s="6">
        <v>1</v>
      </c>
      <c r="M43" s="79" t="str">
        <f t="shared" ca="1" si="14"/>
        <v>IF UBOUND(REVENUES_THIS_YEAR_VECTOR,1) &lt;&gt; NROWS Then: Goto ERROR_LABEL</v>
      </c>
      <c r="P43" s="6" t="s">
        <v>98</v>
      </c>
      <c r="Q43" s="6" t="str">
        <f t="shared" ca="1" si="6"/>
        <v>P/E: Growth - Intrinsic</v>
      </c>
      <c r="R43" s="6" t="str">
        <f t="shared" ca="1" si="18"/>
        <v>P/E: Total - Actual,P/E: Total - Intrinsic,P/E: Assets in Place - Actual,P/E: Assets in Place - Intrinsic,P/E: Growth - Actual,P/E: Growth - Intrinsic</v>
      </c>
      <c r="S43" s="6" t="s">
        <v>98</v>
      </c>
    </row>
    <row r="44" spans="1:19" outlineLevel="1">
      <c r="A44" s="79" t="str">
        <f t="shared" ca="1" si="17"/>
        <v>P/BV: Total - Actual</v>
      </c>
      <c r="B44" s="95">
        <f>B1/B2</f>
        <v>13.389441469013008</v>
      </c>
      <c r="D44" s="78" t="s">
        <v>50</v>
      </c>
      <c r="E44" s="96">
        <f>E38+1</f>
        <v>2</v>
      </c>
      <c r="F44" s="96">
        <v>1</v>
      </c>
      <c r="G44" s="96">
        <v>1</v>
      </c>
      <c r="M44" s="79" t="str">
        <f t="shared" ca="1" si="14"/>
        <v/>
      </c>
      <c r="P44" s="6" t="s">
        <v>98</v>
      </c>
      <c r="Q44" s="6" t="str">
        <f t="shared" ca="1" si="6"/>
        <v>P/BV: Total - Actual</v>
      </c>
      <c r="R44" s="6" t="str">
        <f t="shared" ca="1" si="18"/>
        <v>P/E: Total - Actual,P/E: Total - Intrinsic,P/E: Assets in Place - Actual,P/E: Assets in Place - Intrinsic,P/E: Growth - Actual,P/E: Growth - Intrinsic,P/BV: Total - Actual</v>
      </c>
      <c r="S44" s="6" t="s">
        <v>98</v>
      </c>
    </row>
    <row r="45" spans="1:19" outlineLevel="1">
      <c r="A45" s="79" t="str">
        <f t="shared" ca="1" si="17"/>
        <v>P/BV: Total - Intrinsic</v>
      </c>
      <c r="B45" s="95">
        <f>(B30+B28-B4+B6)/B2</f>
        <v>2.8986000519900252</v>
      </c>
      <c r="D45" s="78"/>
      <c r="E45" s="96">
        <f>E44</f>
        <v>2</v>
      </c>
      <c r="F45" s="96">
        <v>2</v>
      </c>
      <c r="G45" s="96">
        <v>1</v>
      </c>
      <c r="K45" s="6">
        <f t="shared" si="16"/>
        <v>8</v>
      </c>
      <c r="L45" s="6">
        <v>0</v>
      </c>
      <c r="M45" s="79" t="str">
        <f t="shared" ca="1" si="14"/>
        <v>REVENUES_LAST_YEAR_VECTOR = CHECK_DIMENSION_FUNC(REVENUES_LAST_YEAR_RNG)</v>
      </c>
      <c r="P45" s="6" t="s">
        <v>98</v>
      </c>
      <c r="Q45" s="6" t="str">
        <f t="shared" ca="1" si="6"/>
        <v>P/BV: Total - Intrinsic</v>
      </c>
      <c r="R45" s="6" t="str">
        <f t="shared" ca="1" si="18"/>
        <v>P/E: Total - Actual,P/E: Total - Intrinsic,P/E: Assets in Place - Actual,P/E: Assets in Place - Intrinsic,P/E: Growth - Actual,P/E: Growth - Intrinsic,P/BV: Total - Actual,P/BV: Total - Intrinsic</v>
      </c>
      <c r="S45" s="6" t="s">
        <v>98</v>
      </c>
    </row>
    <row r="46" spans="1:19" outlineLevel="1">
      <c r="A46" s="79" t="str">
        <f t="shared" ca="1" si="17"/>
        <v>P/BV: Assets in Place - Actual</v>
      </c>
      <c r="B46" s="95">
        <f>(B28-B4+B6)/B2</f>
        <v>1.7602197918523057</v>
      </c>
      <c r="D46" s="78" t="s">
        <v>52</v>
      </c>
      <c r="E46" s="96">
        <f t="shared" ref="E46:E49" si="19">E45</f>
        <v>2</v>
      </c>
      <c r="F46" s="96">
        <v>1</v>
      </c>
      <c r="G46" s="96">
        <v>2</v>
      </c>
      <c r="K46" s="6">
        <f t="shared" si="16"/>
        <v>8</v>
      </c>
      <c r="L46" s="6">
        <v>1</v>
      </c>
      <c r="M46" s="79" t="str">
        <f t="shared" ca="1" si="14"/>
        <v>IF UBOUND(REVENUES_LAST_YEAR_VECTOR,1) &lt;&gt; NROWS Then: Goto ERROR_LABEL</v>
      </c>
      <c r="P46" s="6" t="s">
        <v>98</v>
      </c>
      <c r="Q46" s="6" t="str">
        <f t="shared" ca="1" si="6"/>
        <v>P/BV: Assets in Place - Actual</v>
      </c>
      <c r="R46" s="6" t="str">
        <f t="shared" ca="1" si="18"/>
        <v>P/E: Total - Actual,P/E: Total - Intrinsic,P/E: Assets in Place - Actual,P/E: Assets in Place - Intrinsic,P/E: Growth - Actual,P/E: Growth - Intrinsic,P/BV: Total - Actual,P/BV: Total - Intrinsic,P/BV: Assets in Place - Actual</v>
      </c>
      <c r="S46" s="6" t="s">
        <v>98</v>
      </c>
    </row>
    <row r="47" spans="1:19" outlineLevel="1">
      <c r="A47" s="79" t="str">
        <f t="shared" ca="1" si="17"/>
        <v>P/BV: Assets in Place - Intrinsic</v>
      </c>
      <c r="B47" s="95">
        <f>B46</f>
        <v>1.7602197918523057</v>
      </c>
      <c r="D47" s="78" t="s">
        <v>53</v>
      </c>
      <c r="E47" s="96">
        <f t="shared" si="19"/>
        <v>2</v>
      </c>
      <c r="F47" s="96">
        <v>2</v>
      </c>
      <c r="G47" s="96">
        <v>2</v>
      </c>
      <c r="M47" s="79" t="str">
        <f t="shared" ca="1" si="14"/>
        <v/>
      </c>
      <c r="P47" s="6" t="s">
        <v>98</v>
      </c>
      <c r="Q47" s="6" t="str">
        <f t="shared" ca="1" si="6"/>
        <v>P/BV: Assets in Place - Intrinsic</v>
      </c>
      <c r="R47" s="6" t="str">
        <f t="shared" ca="1" si="18"/>
        <v>P/E: Total - Actual,P/E: Total - Intrinsic,P/E: Assets in Place - Actual,P/E: Assets in Place - Intrinsic,P/E: Growth - Actual,P/E: Growth - Intrinsic,P/BV: Total - Actual,P/BV: Total - Intrinsic,P/BV: Assets in Place - Actual,P/BV: Assets in Place - Intrinsic</v>
      </c>
      <c r="S47" s="6" t="s">
        <v>98</v>
      </c>
    </row>
    <row r="48" spans="1:19" outlineLevel="1">
      <c r="A48" s="79" t="str">
        <f t="shared" ca="1" si="17"/>
        <v>P/BV: Growth - Actual</v>
      </c>
      <c r="B48" s="95">
        <f>B44-B46</f>
        <v>11.629221677160702</v>
      </c>
      <c r="D48" s="78" t="s">
        <v>54</v>
      </c>
      <c r="E48" s="96">
        <f t="shared" si="19"/>
        <v>2</v>
      </c>
      <c r="F48" s="96">
        <v>1</v>
      </c>
      <c r="G48" s="96">
        <v>3</v>
      </c>
      <c r="K48" s="6">
        <f t="shared" si="16"/>
        <v>9</v>
      </c>
      <c r="L48" s="6">
        <v>0</v>
      </c>
      <c r="M48" s="79" t="str">
        <f t="shared" ca="1" si="14"/>
        <v>OPERATING_INCOME_EBIT_THIS_YEAR_VECTOR = CHECK_DIMENSION_FUNC(OPERATING_INCOME_EBIT_THIS_YEAR_RNG)</v>
      </c>
      <c r="P48" s="6" t="s">
        <v>98</v>
      </c>
      <c r="Q48" s="6" t="str">
        <f t="shared" ca="1" si="6"/>
        <v>P/BV: Growth - Actual</v>
      </c>
      <c r="R48" s="6" t="str">
        <f t="shared" ca="1" si="18"/>
        <v>P/E: Total - Actual,P/E: Total - Intrinsic,P/E: Assets in Place - Actual,P/E: Assets in Place - Intrinsic,P/E: Growth - Actual,P/E: Growth - Intrinsic,P/BV: Total - Actual,P/BV: Total - Intrinsic,P/BV: Assets in Place - Actual,P/BV: Assets in Place - Intrinsic,P/BV: Growth - Actual</v>
      </c>
      <c r="S48" s="6" t="s">
        <v>98</v>
      </c>
    </row>
    <row r="49" spans="1:19" outlineLevel="1">
      <c r="A49" s="79" t="str">
        <f t="shared" ca="1" si="17"/>
        <v>P/BV: Growth - Intrinsic</v>
      </c>
      <c r="B49" s="95">
        <f>B45-B47</f>
        <v>1.1383802601377195</v>
      </c>
      <c r="D49" s="78" t="s">
        <v>55</v>
      </c>
      <c r="E49" s="96">
        <f t="shared" si="19"/>
        <v>2</v>
      </c>
      <c r="F49" s="96">
        <v>2</v>
      </c>
      <c r="G49" s="96">
        <v>3</v>
      </c>
      <c r="K49" s="6">
        <f t="shared" si="16"/>
        <v>9</v>
      </c>
      <c r="L49" s="6">
        <v>1</v>
      </c>
      <c r="M49" s="79" t="str">
        <f t="shared" ca="1" si="14"/>
        <v>IF UBOUND(OPERATING_INCOME_EBIT_THIS_YEAR_VECTOR,1) &lt;&gt; NROWS Then: Goto ERROR_LABEL</v>
      </c>
      <c r="P49" s="6" t="s">
        <v>98</v>
      </c>
      <c r="Q49" s="6" t="str">
        <f t="shared" ca="1" si="6"/>
        <v>P/BV: Growth - Intrinsic</v>
      </c>
      <c r="R49" s="6" t="str">
        <f t="shared" ca="1" si="18"/>
        <v>P/E: Total - Actual,P/E: Total - Intrinsic,P/E: Assets in Place - Actual,P/E: Assets in Place - Intrinsic,P/E: Growth - Actual,P/E: Growth - Intrinsic,P/BV: Total - Actual,P/BV: Total - Intrinsic,P/BV: Assets in Place - Actual,P/BV: Assets in Place - Intrinsic,P/BV: Growth - Actual,P/BV: Growth - Intrinsic</v>
      </c>
      <c r="S49" s="6" t="s">
        <v>98</v>
      </c>
    </row>
    <row r="50" spans="1:19" outlineLevel="1">
      <c r="A50" s="79" t="str">
        <f t="shared" ca="1" si="17"/>
        <v>EV/Sales: Total - Actual</v>
      </c>
      <c r="B50" s="95">
        <f>B1/B8</f>
        <v>18.862840204796552</v>
      </c>
      <c r="D50" s="78"/>
      <c r="E50" s="96">
        <f>E44+1</f>
        <v>3</v>
      </c>
      <c r="F50" s="96">
        <v>1</v>
      </c>
      <c r="G50" s="96">
        <v>1</v>
      </c>
      <c r="M50" s="79" t="str">
        <f t="shared" ca="1" si="14"/>
        <v/>
      </c>
      <c r="P50" s="6" t="s">
        <v>98</v>
      </c>
      <c r="Q50" s="6" t="str">
        <f t="shared" ca="1" si="6"/>
        <v>EV/Sales: Total - Actual</v>
      </c>
      <c r="R50" s="6" t="str">
        <f t="shared" ca="1" si="18"/>
        <v>P/E: Total - Actual,P/E: Total - Intrinsic,P/E: Assets in Place - Actual,P/E: Assets in Place - Intrinsic,P/E: Growth - Actual,P/E: Growth - Intrinsic,P/BV: Total - Actual,P/BV: Total - Intrinsic,P/BV: Assets in Place - Actual,P/BV: Assets in Place - Intrinsic,P/BV: Growth - Actual,P/BV: Growth - Intrinsic,EV/Sales: Total - Actual</v>
      </c>
      <c r="S50" s="6" t="s">
        <v>98</v>
      </c>
    </row>
    <row r="51" spans="1:19" outlineLevel="1">
      <c r="A51" s="79" t="str">
        <f t="shared" ca="1" si="17"/>
        <v>EV/Sales: Total - Intrinsic</v>
      </c>
      <c r="B51" s="95">
        <f>(B30+B28)/B8</f>
        <v>4.003471051415751</v>
      </c>
      <c r="D51" s="78"/>
      <c r="E51" s="96">
        <f>E50</f>
        <v>3</v>
      </c>
      <c r="F51" s="96">
        <v>2</v>
      </c>
      <c r="G51" s="96">
        <v>1</v>
      </c>
      <c r="K51" s="6">
        <f t="shared" si="16"/>
        <v>10</v>
      </c>
      <c r="L51" s="6">
        <v>0</v>
      </c>
      <c r="M51" s="79" t="str">
        <f t="shared" ca="1" si="14"/>
        <v>OPERATING_INCOME_EBIT_LAST_YEAR_VECTOR = CHECK_DIMENSION_FUNC(OPERATING_INCOME_EBIT_LAST_YEAR_RNG)</v>
      </c>
      <c r="P51" s="6" t="s">
        <v>98</v>
      </c>
      <c r="Q51" s="6" t="str">
        <f t="shared" ca="1" si="6"/>
        <v>EV/Sales: Total - Intrinsic</v>
      </c>
      <c r="R51" s="6" t="str">
        <f t="shared" ca="1" si="18"/>
        <v>P/E: Total - Actual,P/E: Total - Intrinsic,P/E: Assets in Place - Actual,P/E: Assets in Place - Intrinsic,P/E: Growth - Actual,P/E: Growth - Intrinsic,P/BV: Total - Actual,P/BV: Total - Intrinsic,P/BV: Assets in Place - Actual,P/BV: Assets in Place - Intrinsic,P/BV: Growth - Actual,P/BV: Growth - Intrinsic,EV/Sales: Total - Actual,EV/Sales: Total - Intrinsic</v>
      </c>
      <c r="S51" s="6" t="s">
        <v>98</v>
      </c>
    </row>
    <row r="52" spans="1:19" outlineLevel="1">
      <c r="A52" s="79" t="str">
        <f t="shared" ca="1" si="17"/>
        <v>EV/Sales: Assets in Place - Actual</v>
      </c>
      <c r="B52" s="95">
        <f>B28/B8</f>
        <v>2.3997383648083681</v>
      </c>
      <c r="D52" s="78"/>
      <c r="E52" s="96">
        <f t="shared" ref="E52:E55" si="20">E51</f>
        <v>3</v>
      </c>
      <c r="F52" s="96">
        <v>1</v>
      </c>
      <c r="G52" s="96">
        <v>2</v>
      </c>
      <c r="K52" s="6">
        <f t="shared" si="16"/>
        <v>10</v>
      </c>
      <c r="L52" s="6">
        <v>1</v>
      </c>
      <c r="M52" s="79" t="str">
        <f t="shared" ca="1" si="14"/>
        <v>IF UBOUND(OPERATING_INCOME_EBIT_LAST_YEAR_VECTOR,1) &lt;&gt; NROWS Then: Goto ERROR_LABEL</v>
      </c>
      <c r="P52" s="6" t="s">
        <v>98</v>
      </c>
      <c r="Q52" s="6" t="str">
        <f t="shared" ca="1" si="6"/>
        <v>EV/Sales: Assets in Place - Actual</v>
      </c>
      <c r="R52" s="6" t="str">
        <f t="shared" ca="1" si="18"/>
        <v>P/E: Total - Actual,P/E: Total - Intrinsic,P/E: Assets in Place - Actual,P/E: Assets in Place - Intrinsic,P/E: Growth - Actual,P/E: Growth - Intrinsic,P/BV: Total - Actual,P/BV: Total - Intrinsic,P/BV: Assets in Place - Actual,P/BV: Assets in Place - Intrinsic,P/BV: Growth - Actual,P/BV: Growth - Intrinsic,EV/Sales: Total - Actual,EV/Sales: Total - Intrinsic,EV/Sales: Assets in Place - Actual</v>
      </c>
      <c r="S52" s="6" t="s">
        <v>98</v>
      </c>
    </row>
    <row r="53" spans="1:19" outlineLevel="1">
      <c r="A53" s="79" t="str">
        <f t="shared" ca="1" si="17"/>
        <v>EV/Sales: Assets in Place - Intrinsic</v>
      </c>
      <c r="B53" s="95">
        <f>B52</f>
        <v>2.3997383648083681</v>
      </c>
      <c r="D53" s="78"/>
      <c r="E53" s="96">
        <f t="shared" si="20"/>
        <v>3</v>
      </c>
      <c r="F53" s="96">
        <v>2</v>
      </c>
      <c r="G53" s="96">
        <v>2</v>
      </c>
      <c r="M53" s="79" t="str">
        <f t="shared" ca="1" si="14"/>
        <v/>
      </c>
      <c r="P53" s="6" t="s">
        <v>98</v>
      </c>
      <c r="Q53" s="6" t="str">
        <f t="shared" ca="1" si="6"/>
        <v>EV/Sales: Assets in Place - Intrinsic</v>
      </c>
      <c r="R53" s="6" t="str">
        <f t="shared" ca="1" si="18"/>
        <v>P/E: Total - Actual,P/E: Total - Intrinsic,P/E: Assets in Place - Actual,P/E: Assets in Place - Intrinsic,P/E: Growth - Actual,P/E: Growth - Intrinsic,P/BV: Total - Actual,P/BV: Total - Intrinsic,P/BV: Assets in Place - Actual,P/BV: Assets in Place - Intrinsic,P/BV: Growth - Actual,P/BV: Growth - Intrinsic,EV/Sales: Total - Actual,EV/Sales: Total - Intrinsic,EV/Sales: Assets in Place - Actual,EV/Sales: Assets in Place - Intrinsic</v>
      </c>
      <c r="S53" s="6" t="s">
        <v>98</v>
      </c>
    </row>
    <row r="54" spans="1:19" outlineLevel="1">
      <c r="A54" s="79" t="str">
        <f t="shared" ca="1" si="17"/>
        <v>EV/Sales: Growth - Actual</v>
      </c>
      <c r="B54" s="95">
        <f>B50-B52</f>
        <v>16.463101839988184</v>
      </c>
      <c r="D54" s="78"/>
      <c r="E54" s="96">
        <f t="shared" si="20"/>
        <v>3</v>
      </c>
      <c r="F54" s="96">
        <v>1</v>
      </c>
      <c r="G54" s="96">
        <v>3</v>
      </c>
      <c r="K54" s="6">
        <f t="shared" si="16"/>
        <v>11</v>
      </c>
      <c r="L54" s="6">
        <v>0</v>
      </c>
      <c r="M54" s="79" t="str">
        <f t="shared" ca="1" si="14"/>
        <v>EFFECTIVE_TAX_RATE_VECTOR = CHECK_DIMENSION_FUNC(EFFECTIVE_TAX_RATE_RNG)</v>
      </c>
      <c r="P54" s="6" t="s">
        <v>98</v>
      </c>
      <c r="Q54" s="6" t="str">
        <f t="shared" ca="1" si="6"/>
        <v>EV/Sales: Growth - Actual</v>
      </c>
      <c r="R54" s="6" t="str">
        <f t="shared" ca="1" si="18"/>
        <v>P/E: Total - Actual,P/E: Total - Intrinsic,P/E: Assets in Place - Actual,P/E: Assets in Place - Intrinsic,P/E: Growth - Actual,P/E: Growth - Intrinsic,P/BV: Total - Actual,P/BV: Total - Intrinsic,P/BV: Assets in Place - Actual,P/BV: Assets in Place - Intrinsic,P/BV: Growth - Actual,P/BV: Growth - Intrinsic,EV/Sales: Total - Actual,EV/Sales: Total - Intrinsic,EV/Sales: Assets in Place - Actual,EV/Sales: Assets in Place - Intrinsic,EV/Sales: Growth - Actual</v>
      </c>
      <c r="S54" s="6" t="s">
        <v>98</v>
      </c>
    </row>
    <row r="55" spans="1:19" outlineLevel="1">
      <c r="A55" s="79" t="str">
        <f t="shared" ca="1" si="17"/>
        <v>EV/Sales: Growth - Intrinsic</v>
      </c>
      <c r="B55" s="95">
        <f>B51-B53</f>
        <v>1.6037326866073829</v>
      </c>
      <c r="D55" s="78"/>
      <c r="E55" s="96">
        <f t="shared" si="20"/>
        <v>3</v>
      </c>
      <c r="F55" s="96">
        <v>2</v>
      </c>
      <c r="G55" s="96">
        <v>3</v>
      </c>
      <c r="K55" s="6">
        <f t="shared" si="16"/>
        <v>11</v>
      </c>
      <c r="L55" s="6">
        <v>1</v>
      </c>
      <c r="M55" s="79" t="str">
        <f t="shared" ca="1" si="14"/>
        <v>IF UBOUND(EFFECTIVE_TAX_RATE_VECTOR,1) &lt;&gt; NROWS Then: Goto ERROR_LABEL</v>
      </c>
      <c r="P55" s="6" t="s">
        <v>98</v>
      </c>
      <c r="Q55" s="6" t="str">
        <f t="shared" ca="1" si="6"/>
        <v>EV/Sales: Growth - Intrinsic</v>
      </c>
      <c r="R55" s="6" t="str">
        <f t="shared" ca="1" si="18"/>
        <v>P/E: Total - Actual,P/E: Total - Intrinsic,P/E: Assets in Place - Actual,P/E: Assets in Place - Intrinsic,P/E: Growth - Actual,P/E: Growth - Intrinsic,P/BV: Total - Actual,P/BV: Total - Intrinsic,P/BV: Assets in Place - Actual,P/BV: Assets in Place - Intrinsic,P/BV: Growth - Actual,P/BV: Growth - Intrinsic,EV/Sales: Total - Actual,EV/Sales: Total - Intrinsic,EV/Sales: Assets in Place - Actual,EV/Sales: Assets in Place - Intrinsic,EV/Sales: Growth - Actual,EV/Sales: Growth - Intrinsic</v>
      </c>
      <c r="S55" s="6" t="s">
        <v>98</v>
      </c>
    </row>
    <row r="56" spans="1:19" outlineLevel="1">
      <c r="A56" s="79" t="str">
        <f t="shared" ca="1" si="17"/>
        <v>EV/Invested Capital: Total - Actual</v>
      </c>
      <c r="B56" s="95">
        <f>B1/(B2+B4-B6)</f>
        <v>14.195903467856418</v>
      </c>
      <c r="D56" s="78"/>
      <c r="E56" s="96">
        <f>E50+1</f>
        <v>4</v>
      </c>
      <c r="F56" s="96">
        <v>1</v>
      </c>
      <c r="G56" s="96">
        <v>1</v>
      </c>
      <c r="M56" s="79" t="str">
        <f t="shared" ca="1" si="14"/>
        <v/>
      </c>
      <c r="P56" s="6" t="s">
        <v>98</v>
      </c>
      <c r="Q56" s="6" t="str">
        <f t="shared" ca="1" si="6"/>
        <v>EV/Invested Capital: Total - Actual</v>
      </c>
      <c r="R56" s="6" t="str">
        <f t="shared" ca="1" si="18"/>
        <v>P/E: Total - Actual,P/E: Total - Intrinsic,P/E: Assets in Place - Actual,P/E: Assets in Place - Intrinsic,P/E: Growth - Actual,P/E: Growth - Intrinsic,P/BV: Total - Actual,P/BV: Total - Intrinsic,P/BV: Assets in Place - Actual,P/BV: Assets in Place - Intrinsic,P/BV: Growth - Actual,P/BV: Growth - Intrinsic,EV/Sales: Total - Actual,EV/Sales: Total - Intrinsic,EV/Sales: Assets in Place - Actual,EV/Sales: Assets in Place - Intrinsic,EV/Sales: Growth - Actual,EV/Sales: Growth - Intrinsic,EV/Invested Capital: Total - Actual</v>
      </c>
      <c r="S56" s="6" t="s">
        <v>98</v>
      </c>
    </row>
    <row r="57" spans="1:19" outlineLevel="1">
      <c r="A57" s="79" t="str">
        <f t="shared" ca="1" si="17"/>
        <v>EV/Invested Capital: Total - Intrinsic</v>
      </c>
      <c r="B57" s="95">
        <f>(B30+B28)/(B2+B4-B6)</f>
        <v>3.0129549932678672</v>
      </c>
      <c r="D57" s="78"/>
      <c r="E57" s="96">
        <f>E56</f>
        <v>4</v>
      </c>
      <c r="F57" s="96">
        <v>2</v>
      </c>
      <c r="G57" s="96">
        <v>1</v>
      </c>
      <c r="K57" s="6">
        <f t="shared" si="16"/>
        <v>12</v>
      </c>
      <c r="L57" s="6">
        <v>0</v>
      </c>
      <c r="M57" s="79" t="str">
        <f t="shared" ca="1" si="14"/>
        <v>NET_INCOME_VECTOR = CHECK_DIMENSION_FUNC(NET_INCOME_RNG)</v>
      </c>
      <c r="P57" s="6" t="s">
        <v>98</v>
      </c>
      <c r="Q57" s="6" t="str">
        <f t="shared" ca="1" si="6"/>
        <v>EV/Invested Capital: Total - Intrinsic</v>
      </c>
      <c r="R57" s="6" t="str">
        <f t="shared" ca="1" si="18"/>
        <v>P/E: Total - Actual,P/E: Total - Intrinsic,P/E: Assets in Place - Actual,P/E: Assets in Place - Intrinsic,P/E: Growth - Actual,P/E: Growth - Intrinsic,P/BV: Total - Actual,P/BV: Total - Intrinsic,P/BV: Assets in Place - Actual,P/BV: Assets in Place - Intrinsic,P/BV: Growth - Actual,P/BV: Growth - Intrinsic,EV/Sales: Total - Actual,EV/Sales: Total - Intrinsic,EV/Sales: Assets in Place - Actual,EV/Sales: Assets in Place - Intrinsic,EV/Sales: Growth - Actual,EV/Sales: Growth - Intrinsic,EV/Invested Capital: Total - Actual,EV/Invested Capital: Total - Intrinsic</v>
      </c>
      <c r="S57" s="6" t="s">
        <v>98</v>
      </c>
    </row>
    <row r="58" spans="1:19" outlineLevel="1">
      <c r="A58" s="79" t="str">
        <f t="shared" ca="1" si="17"/>
        <v>EV/Invested Capital: Assets in Place - Actual</v>
      </c>
      <c r="B58" s="95">
        <f>B28/(B2+B4-B6)</f>
        <v>1.8060087349024243</v>
      </c>
      <c r="D58" s="78"/>
      <c r="E58" s="96">
        <f t="shared" ref="E58:E61" si="21">E57</f>
        <v>4</v>
      </c>
      <c r="F58" s="96">
        <v>1</v>
      </c>
      <c r="G58" s="96">
        <v>2</v>
      </c>
      <c r="K58" s="6">
        <f t="shared" si="16"/>
        <v>12</v>
      </c>
      <c r="L58" s="6">
        <v>1</v>
      </c>
      <c r="M58" s="79" t="str">
        <f t="shared" ca="1" si="14"/>
        <v>IF UBOUND(NET_INCOME_VECTOR,1) &lt;&gt; NROWS Then: Goto ERROR_LABEL</v>
      </c>
      <c r="P58" s="6" t="s">
        <v>98</v>
      </c>
      <c r="Q58" s="6" t="str">
        <f t="shared" ca="1" si="6"/>
        <v>EV/Invested Capital: Assets in Place - Actual</v>
      </c>
      <c r="R58" s="6" t="str">
        <f t="shared" ca="1" si="18"/>
        <v>P/E: Total - Actual,P/E: Total - Intrinsic,P/E: Assets in Place - Actual,P/E: Assets in Place - Intrinsic,P/E: Growth - Actual,P/E: Growth - Intrinsic,P/BV: Total - Actual,P/BV: Total - Intrinsic,P/BV: Assets in Place - Actual,P/BV: Assets in Place - Intrinsic,P/BV: Growth - Actual,P/BV: Growth - Intrinsic,EV/Sales: Total - Actual,EV/Sales: Total - Intrinsic,EV/Sales: Assets in Place - Actual,EV/Sales: Assets in Place - Intrinsic,EV/Sales: Growth - Actual,EV/Sales: Growth - Intrinsic,EV/Invested Capital: Total - Actual,EV/Invested Capital: Total - Intrinsic,EV/Invested Capital: Assets in Place - Actual</v>
      </c>
      <c r="S58" s="6" t="s">
        <v>98</v>
      </c>
    </row>
    <row r="59" spans="1:19" outlineLevel="1">
      <c r="A59" s="79" t="str">
        <f t="shared" ca="1" si="17"/>
        <v>EV/Invested Capital: Assets in Place - Intrinsic</v>
      </c>
      <c r="B59" s="95">
        <f>B58</f>
        <v>1.8060087349024243</v>
      </c>
      <c r="D59" s="78"/>
      <c r="E59" s="96">
        <f t="shared" si="21"/>
        <v>4</v>
      </c>
      <c r="F59" s="96">
        <v>2</v>
      </c>
      <c r="G59" s="96">
        <v>2</v>
      </c>
      <c r="M59" s="79" t="str">
        <f t="shared" ca="1" si="14"/>
        <v/>
      </c>
      <c r="P59" s="6" t="s">
        <v>98</v>
      </c>
      <c r="Q59" s="6" t="str">
        <f t="shared" ca="1" si="6"/>
        <v>EV/Invested Capital: Assets in Place - Intrinsic</v>
      </c>
      <c r="R59" s="6" t="str">
        <f t="shared" ca="1" si="18"/>
        <v>P/E: Total - Actual,P/E: Total - Intrinsic,P/E: Assets in Place - Actual,P/E: Assets in Place - Intrinsic,P/E: Growth - Actual,P/E: Growth - Intrinsic,P/BV: Total - Actual,P/BV: Total - Intrinsic,P/BV: Assets in Place - Actual,P/BV: Assets in Place - Intrinsic,P/BV: Growth - Actual,P/BV: Growth - Intrinsic,EV/Sales: Total - Actual,EV/Sales: Total - Intrinsic,EV/Sales: Assets in Place - Actual,EV/Sales: Assets in Place - Intrinsic,EV/Sales: Growth - Actual,EV/Sales: Growth - Intrinsic,EV/Invested Capital: Total - Actual,EV/Invested Capital: Total - Intrinsic,EV/Invested Capital: Assets in Place - Actual,EV/Invested Capital: Assets in Place - Intrinsic</v>
      </c>
      <c r="S59" s="6" t="s">
        <v>98</v>
      </c>
    </row>
    <row r="60" spans="1:19" outlineLevel="1">
      <c r="A60" s="79" t="str">
        <f t="shared" ca="1" si="17"/>
        <v>EV/Invested Capital: Growth - Actual</v>
      </c>
      <c r="B60" s="95">
        <f>B56-B58</f>
        <v>12.389894732953994</v>
      </c>
      <c r="D60" s="78"/>
      <c r="E60" s="96">
        <f t="shared" si="21"/>
        <v>4</v>
      </c>
      <c r="F60" s="96">
        <v>1</v>
      </c>
      <c r="G60" s="96">
        <v>3</v>
      </c>
      <c r="K60" s="6">
        <f t="shared" si="16"/>
        <v>13</v>
      </c>
      <c r="L60" s="6">
        <v>0</v>
      </c>
      <c r="M60" s="79" t="str">
        <f t="shared" ca="1" si="14"/>
        <v>COST_OF_EQUITY_VECTOR = CHECK_DIMENSION_FUNC(COST_OF_EQUITY_RNG)</v>
      </c>
      <c r="P60" s="6" t="s">
        <v>98</v>
      </c>
      <c r="Q60" s="6" t="str">
        <f t="shared" ca="1" si="6"/>
        <v>EV/Invested Capital: Growth - Actual</v>
      </c>
      <c r="R60" s="6" t="str">
        <f t="shared" ca="1" si="18"/>
        <v>P/E: Total - Actual,P/E: Total - Intrinsic,P/E: Assets in Place - Actual,P/E: Assets in Place - Intrinsic,P/E: Growth - Actual,P/E: Growth - Intrinsic,P/BV: Total - Actual,P/BV: Total - Intrinsic,P/BV: Assets in Place - Actual,P/BV: Assets in Place - Intrinsic,P/BV: Growth - Actual,P/BV: Growth - Intrinsic,EV/Sales: Total - Actual,EV/Sales: Total - Intrinsic,EV/Sales: Assets in Place - Actual,EV/Sales: Assets in Place - Intrinsic,EV/Sales: Growth - Actual,EV/Sales: Growth - Intrinsic,EV/Invested Capital: Total - Actual,EV/Invested Capital: Total - Intrinsic,EV/Invested Capital: Assets in Place - Actual,EV/Invested Capital: Assets in Place - Intrinsic,EV/Invested Capital: Growth - Actual</v>
      </c>
      <c r="S60" s="6" t="s">
        <v>98</v>
      </c>
    </row>
    <row r="61" spans="1:19" outlineLevel="1">
      <c r="A61" s="79" t="str">
        <f t="shared" ca="1" si="17"/>
        <v>EV/Invested Capital: Growth - Intrinsic</v>
      </c>
      <c r="B61" s="95">
        <f>B57-B59</f>
        <v>1.2069462583654429</v>
      </c>
      <c r="D61" s="78"/>
      <c r="E61" s="96">
        <f t="shared" si="21"/>
        <v>4</v>
      </c>
      <c r="F61" s="96">
        <v>2</v>
      </c>
      <c r="G61" s="96">
        <v>3</v>
      </c>
      <c r="K61" s="6">
        <f t="shared" si="16"/>
        <v>13</v>
      </c>
      <c r="L61" s="6">
        <v>1</v>
      </c>
      <c r="M61" s="79" t="str">
        <f t="shared" ca="1" si="14"/>
        <v>IF UBOUND(COST_OF_EQUITY_VECTOR,1) &lt;&gt; NROWS Then: Goto ERROR_LABEL</v>
      </c>
      <c r="P61" s="6" t="s">
        <v>98</v>
      </c>
      <c r="Q61" s="6" t="str">
        <f t="shared" ca="1" si="6"/>
        <v>EV/Invested Capital: Growth - Intrinsic</v>
      </c>
      <c r="R61" s="6" t="str">
        <f t="shared" ca="1" si="18"/>
        <v>P/E: Total - Actual,P/E: Total - Intrinsic,P/E: Assets in Place - Actual,P/E: Assets in Place - Intrinsic,P/E: Growth - Actual,P/E: Growth - Intrinsic,P/BV: Total - Actual,P/BV: Total - Intrinsic,P/BV: Assets in Place - Actual,P/BV: Assets in Place - Intrinsic,P/BV: Growth - Actual,P/BV: Growth - Intrinsic,EV/Sales: Total - Actual,EV/Sales: Total - Intrinsic,EV/Sales: Assets in Place - Actual,EV/Sales: Assets in Place - Intrinsic,EV/Sales: Growth - Actual,EV/Sales: Growth - Intrinsic,EV/Invested Capital: Total - Actual,EV/Invested Capital: Total - Intrinsic,EV/Invested Capital: Assets in Place - Actual,EV/Invested Capital: Assets in Place - Intrinsic,EV/Invested Capital: Growth - Actual,EV/Invested Capital: Growth - Intrinsic</v>
      </c>
      <c r="S61" s="6" t="s">
        <v>98</v>
      </c>
    </row>
    <row r="62" spans="1:19" outlineLevel="1">
      <c r="M62" s="79" t="str">
        <f t="shared" ca="1" si="14"/>
        <v/>
      </c>
      <c r="P62" s="6" t="s">
        <v>98</v>
      </c>
    </row>
    <row r="63" spans="1:19" outlineLevel="1">
      <c r="K63" s="6">
        <f t="shared" si="16"/>
        <v>14</v>
      </c>
      <c r="L63" s="6">
        <v>0</v>
      </c>
      <c r="M63" s="79" t="str">
        <f t="shared" ca="1" si="14"/>
        <v>COST_OF_CAPITAL_VECTOR = CHECK_DIMENSION_FUNC(COST_OF_CAPITAL_RNG)</v>
      </c>
      <c r="P63" s="6" t="s">
        <v>98</v>
      </c>
    </row>
    <row r="64" spans="1:19" outlineLevel="1">
      <c r="K64" s="6">
        <f t="shared" si="16"/>
        <v>14</v>
      </c>
      <c r="L64" s="6">
        <v>1</v>
      </c>
      <c r="M64" s="79" t="str">
        <f t="shared" ca="1" si="14"/>
        <v>IF UBOUND(COST_OF_CAPITAL_VECTOR,1) &lt;&gt; NROWS Then: Goto ERROR_LABEL</v>
      </c>
      <c r="P64" s="6" t="s">
        <v>98</v>
      </c>
    </row>
    <row r="65" spans="1:64" outlineLevel="1">
      <c r="M65" s="79" t="str">
        <f t="shared" ca="1" si="14"/>
        <v/>
      </c>
      <c r="P65" s="6" t="s">
        <v>98</v>
      </c>
      <c r="AE65" s="6" t="str">
        <f t="shared" ref="AE65" ca="1" si="22">IF(AC65="","",OFFSET($M$1,$AC65,$AD65))</f>
        <v/>
      </c>
    </row>
    <row r="66" spans="1:64" outlineLevel="1">
      <c r="K66" s="6">
        <f t="shared" si="16"/>
        <v>15</v>
      </c>
      <c r="L66" s="6">
        <v>0</v>
      </c>
      <c r="M66" s="79" t="str">
        <f t="shared" ca="1" si="14"/>
        <v>RISKFREE_RATE_VECTOR = CHECK_DIMENSION_FUNC(RISKFREE_RATE_RNG)</v>
      </c>
      <c r="P66" s="6" t="s">
        <v>98</v>
      </c>
    </row>
    <row r="67" spans="1:64" outlineLevel="1">
      <c r="K67" s="6">
        <f t="shared" si="16"/>
        <v>15</v>
      </c>
      <c r="L67" s="6">
        <v>1</v>
      </c>
      <c r="M67" s="79" t="str">
        <f t="shared" ca="1" si="14"/>
        <v>IF UBOUND(RISKFREE_RATE_VECTOR,1) &lt;&gt; NROWS Then: Goto ERROR_LABEL</v>
      </c>
      <c r="P67" s="6" t="s">
        <v>98</v>
      </c>
    </row>
    <row r="68" spans="1:64" outlineLevel="1">
      <c r="M68" s="79" t="str">
        <f t="shared" ca="1" si="14"/>
        <v/>
      </c>
      <c r="P68" s="6" t="s">
        <v>98</v>
      </c>
    </row>
    <row r="69" spans="1:64" outlineLevel="1">
      <c r="K69" s="6">
        <f t="shared" si="16"/>
        <v>16</v>
      </c>
      <c r="L69" s="6">
        <v>0</v>
      </c>
      <c r="M69" s="79" t="str">
        <f t="shared" ca="1" si="14"/>
        <v>LENGTH_OF_GROWTH_PERIOD_VECTOR = CHECK_DIMENSION_FUNC(LENGTH_OF_GROWTH_PERIOD_RNG)</v>
      </c>
      <c r="P69" s="6" t="s">
        <v>98</v>
      </c>
    </row>
    <row r="70" spans="1:64" outlineLevel="1">
      <c r="K70" s="6">
        <f t="shared" si="16"/>
        <v>16</v>
      </c>
      <c r="L70" s="6">
        <v>1</v>
      </c>
      <c r="M70" s="79" t="str">
        <f t="shared" ca="1" si="14"/>
        <v>IF UBOUND(LENGTH_OF_GROWTH_PERIOD_VECTOR,1) &lt;&gt; NROWS Then: Goto ERROR_LABEL</v>
      </c>
      <c r="P70" s="6" t="s">
        <v>98</v>
      </c>
    </row>
    <row r="71" spans="1:64" outlineLevel="1">
      <c r="M71" s="79" t="str">
        <f t="shared" ca="1" si="14"/>
        <v/>
      </c>
      <c r="P71" s="6" t="s">
        <v>98</v>
      </c>
    </row>
    <row r="72" spans="1:64" outlineLevel="1">
      <c r="K72" s="6">
        <f t="shared" si="16"/>
        <v>17</v>
      </c>
      <c r="L72" s="6">
        <v>0</v>
      </c>
      <c r="M72" s="79" t="str">
        <f t="shared" ca="1" si="14"/>
        <v>RETURN_ON_INVESTED_CAPITAL_ON_GROWTH_VECTOR = CHECK_DIMENSION_FUNC(RETURN_ON_INVESTED_CAPITAL_ON_GROWTH_RNG)</v>
      </c>
      <c r="P72" s="6" t="s">
        <v>98</v>
      </c>
    </row>
    <row r="73" spans="1:64" outlineLevel="1">
      <c r="K73" s="6">
        <f t="shared" si="16"/>
        <v>17</v>
      </c>
      <c r="L73" s="6">
        <v>1</v>
      </c>
      <c r="M73" s="79" t="str">
        <f t="shared" ca="1" si="14"/>
        <v>IF UBOUND(RETURN_ON_INVESTED_CAPITAL_ON_GROWTH_VECTOR,1) &lt;&gt; NROWS Then: Goto ERROR_LABEL</v>
      </c>
      <c r="P73" s="6" t="s">
        <v>98</v>
      </c>
    </row>
    <row r="74" spans="1:64" outlineLevel="1">
      <c r="M74" s="79" t="str">
        <f t="shared" ca="1" si="14"/>
        <v/>
      </c>
      <c r="P74" s="6" t="s">
        <v>98</v>
      </c>
    </row>
    <row r="75" spans="1:64" outlineLevel="1">
      <c r="K75" s="6">
        <f t="shared" si="16"/>
        <v>18</v>
      </c>
      <c r="L75" s="6">
        <v>0</v>
      </c>
      <c r="M75" s="79" t="str">
        <f t="shared" ca="1" si="14"/>
        <v>EXPECTED_GROWTH_RATE_IN_OPERATING_INCOME_VECTOR = CHECK_DIMENSION_FUNC(EXPECTED_GROWTH_RATE_IN_OPERATING_INCOME_RNG)</v>
      </c>
      <c r="P75" s="6" t="s">
        <v>98</v>
      </c>
    </row>
    <row r="76" spans="1:64" outlineLevel="1">
      <c r="K76" s="6">
        <f t="shared" si="16"/>
        <v>18</v>
      </c>
      <c r="L76" s="6">
        <v>1</v>
      </c>
      <c r="M76" s="79" t="str">
        <f t="shared" ca="1" si="14"/>
        <v>IF UBOUND(EXPECTED_GROWTH_RATE_IN_OPERATING_INCOME_VECTOR,1) &lt;&gt; NROWS Then: Goto ERROR_LABEL</v>
      </c>
      <c r="P76" s="6" t="s">
        <v>98</v>
      </c>
    </row>
    <row r="77" spans="1:64" outlineLevel="1">
      <c r="P77" s="6" t="s">
        <v>98</v>
      </c>
    </row>
    <row r="78" spans="1:64" outlineLevel="1">
      <c r="P78" s="6" t="s">
        <v>98</v>
      </c>
    </row>
    <row r="79" spans="1:64">
      <c r="P79" s="6" t="s">
        <v>98</v>
      </c>
    </row>
    <row r="80" spans="1:64">
      <c r="A80" s="97" t="s">
        <v>517</v>
      </c>
      <c r="B80" s="98" t="b">
        <v>0</v>
      </c>
      <c r="D80" s="99">
        <v>1</v>
      </c>
      <c r="E80" s="99">
        <f t="shared" ref="E80:AJ80" si="23">D80+1</f>
        <v>2</v>
      </c>
      <c r="F80" s="99">
        <f t="shared" si="23"/>
        <v>3</v>
      </c>
      <c r="G80" s="99">
        <f t="shared" si="23"/>
        <v>4</v>
      </c>
      <c r="H80" s="99">
        <f t="shared" si="23"/>
        <v>5</v>
      </c>
      <c r="I80" s="99">
        <f t="shared" si="23"/>
        <v>6</v>
      </c>
      <c r="J80" s="99">
        <f t="shared" si="23"/>
        <v>7</v>
      </c>
      <c r="K80" s="99">
        <f t="shared" si="23"/>
        <v>8</v>
      </c>
      <c r="L80" s="99">
        <f t="shared" si="23"/>
        <v>9</v>
      </c>
      <c r="M80" s="99">
        <f t="shared" si="23"/>
        <v>10</v>
      </c>
      <c r="N80" s="99">
        <f t="shared" si="23"/>
        <v>11</v>
      </c>
      <c r="O80" s="99">
        <f t="shared" si="23"/>
        <v>12</v>
      </c>
      <c r="P80" s="99">
        <f t="shared" si="23"/>
        <v>13</v>
      </c>
      <c r="Q80" s="99">
        <f t="shared" si="23"/>
        <v>14</v>
      </c>
      <c r="R80" s="99">
        <f t="shared" si="23"/>
        <v>15</v>
      </c>
      <c r="S80" s="99">
        <f t="shared" si="23"/>
        <v>16</v>
      </c>
      <c r="T80" s="99">
        <f t="shared" si="23"/>
        <v>17</v>
      </c>
      <c r="U80" s="99">
        <f t="shared" si="23"/>
        <v>18</v>
      </c>
      <c r="V80" s="99">
        <f t="shared" si="23"/>
        <v>19</v>
      </c>
      <c r="W80" s="99">
        <f t="shared" si="23"/>
        <v>20</v>
      </c>
      <c r="X80" s="99">
        <f t="shared" si="23"/>
        <v>21</v>
      </c>
      <c r="Y80" s="99">
        <f t="shared" si="23"/>
        <v>22</v>
      </c>
      <c r="Z80" s="99">
        <f t="shared" si="23"/>
        <v>23</v>
      </c>
      <c r="AA80" s="99">
        <f t="shared" si="23"/>
        <v>24</v>
      </c>
      <c r="AB80" s="99">
        <f t="shared" si="23"/>
        <v>25</v>
      </c>
      <c r="AC80" s="99">
        <f t="shared" si="23"/>
        <v>26</v>
      </c>
      <c r="AD80" s="99">
        <f t="shared" si="23"/>
        <v>27</v>
      </c>
      <c r="AE80" s="99">
        <f t="shared" si="23"/>
        <v>28</v>
      </c>
      <c r="AF80" s="99">
        <f t="shared" si="23"/>
        <v>29</v>
      </c>
      <c r="AG80" s="99">
        <f t="shared" si="23"/>
        <v>30</v>
      </c>
      <c r="AH80" s="99">
        <f t="shared" si="23"/>
        <v>31</v>
      </c>
      <c r="AI80" s="99">
        <f t="shared" si="23"/>
        <v>32</v>
      </c>
      <c r="AJ80" s="99">
        <f t="shared" si="23"/>
        <v>33</v>
      </c>
      <c r="AK80" s="99">
        <f t="shared" ref="AK80:BL80" si="24">AJ80+1</f>
        <v>34</v>
      </c>
      <c r="AL80" s="99">
        <f t="shared" si="24"/>
        <v>35</v>
      </c>
      <c r="AM80" s="99">
        <f t="shared" si="24"/>
        <v>36</v>
      </c>
      <c r="AN80" s="99">
        <f t="shared" si="24"/>
        <v>37</v>
      </c>
      <c r="AO80" s="99">
        <f t="shared" si="24"/>
        <v>38</v>
      </c>
      <c r="AP80" s="99">
        <f t="shared" si="24"/>
        <v>39</v>
      </c>
      <c r="AQ80" s="99">
        <f t="shared" si="24"/>
        <v>40</v>
      </c>
      <c r="AR80" s="99">
        <f t="shared" si="24"/>
        <v>41</v>
      </c>
      <c r="AS80" s="99">
        <f t="shared" si="24"/>
        <v>42</v>
      </c>
      <c r="AT80" s="99">
        <f t="shared" si="24"/>
        <v>43</v>
      </c>
      <c r="AU80" s="99">
        <f t="shared" si="24"/>
        <v>44</v>
      </c>
      <c r="AV80" s="99">
        <f t="shared" si="24"/>
        <v>45</v>
      </c>
      <c r="AW80" s="99">
        <f t="shared" si="24"/>
        <v>46</v>
      </c>
      <c r="AX80" s="99">
        <f t="shared" si="24"/>
        <v>47</v>
      </c>
      <c r="AY80" s="99">
        <f t="shared" si="24"/>
        <v>48</v>
      </c>
      <c r="AZ80" s="99">
        <f t="shared" si="24"/>
        <v>49</v>
      </c>
      <c r="BA80" s="99">
        <f t="shared" si="24"/>
        <v>50</v>
      </c>
      <c r="BB80" s="99">
        <f t="shared" si="24"/>
        <v>51</v>
      </c>
      <c r="BC80" s="99">
        <f t="shared" si="24"/>
        <v>52</v>
      </c>
      <c r="BD80" s="99">
        <f t="shared" si="24"/>
        <v>53</v>
      </c>
      <c r="BE80" s="99">
        <f t="shared" si="24"/>
        <v>54</v>
      </c>
      <c r="BF80" s="99">
        <f t="shared" si="24"/>
        <v>55</v>
      </c>
      <c r="BG80" s="99">
        <f t="shared" si="24"/>
        <v>56</v>
      </c>
      <c r="BH80" s="99">
        <f t="shared" si="24"/>
        <v>57</v>
      </c>
      <c r="BI80" s="99">
        <f t="shared" si="24"/>
        <v>58</v>
      </c>
      <c r="BJ80" s="99">
        <f t="shared" si="24"/>
        <v>59</v>
      </c>
      <c r="BK80" s="99">
        <f t="shared" si="24"/>
        <v>60</v>
      </c>
      <c r="BL80" s="99">
        <f t="shared" si="24"/>
        <v>61</v>
      </c>
    </row>
    <row r="81" spans="1:66">
      <c r="A81" s="97" t="s">
        <v>518</v>
      </c>
      <c r="B81" s="100">
        <v>9</v>
      </c>
      <c r="D81" s="101" t="str">
        <f t="shared" ref="D81:U81" si="25">IF($B$80=FALSE,"--",SUM(D105:D113))</f>
        <v>--</v>
      </c>
      <c r="E81" s="101" t="str">
        <f t="shared" si="25"/>
        <v>--</v>
      </c>
      <c r="F81" s="101" t="str">
        <f t="shared" si="25"/>
        <v>--</v>
      </c>
      <c r="G81" s="101" t="str">
        <f t="shared" si="25"/>
        <v>--</v>
      </c>
      <c r="H81" s="101" t="str">
        <f t="shared" si="25"/>
        <v>--</v>
      </c>
      <c r="I81" s="101" t="str">
        <f t="shared" si="25"/>
        <v>--</v>
      </c>
      <c r="J81" s="101" t="str">
        <f t="shared" si="25"/>
        <v>--</v>
      </c>
      <c r="K81" s="101" t="str">
        <f t="shared" si="25"/>
        <v>--</v>
      </c>
      <c r="L81" s="101" t="str">
        <f t="shared" si="25"/>
        <v>--</v>
      </c>
      <c r="M81" s="101" t="str">
        <f t="shared" si="25"/>
        <v>--</v>
      </c>
      <c r="N81" s="101" t="str">
        <f t="shared" si="25"/>
        <v>--</v>
      </c>
      <c r="O81" s="101" t="str">
        <f t="shared" si="25"/>
        <v>--</v>
      </c>
      <c r="P81" s="101" t="str">
        <f t="shared" si="25"/>
        <v>--</v>
      </c>
      <c r="Q81" s="101" t="str">
        <f t="shared" si="25"/>
        <v>--</v>
      </c>
      <c r="R81" s="101" t="str">
        <f t="shared" si="25"/>
        <v>--</v>
      </c>
      <c r="S81" s="101" t="str">
        <f t="shared" si="25"/>
        <v>--</v>
      </c>
      <c r="T81" s="101" t="str">
        <f t="shared" si="25"/>
        <v>--</v>
      </c>
      <c r="U81" s="101" t="str">
        <f t="shared" si="25"/>
        <v>--</v>
      </c>
      <c r="V81" s="101" t="str">
        <f>IF($B$80=FALSE,"--",IF($B$82=TRUE,"",SUM(V105:V113)))</f>
        <v>--</v>
      </c>
      <c r="W81" s="101" t="str">
        <f t="shared" ref="W81:BL81" si="26">IF($B$80=FALSE,"--",SUM(W105:W113))</f>
        <v>--</v>
      </c>
      <c r="X81" s="101" t="str">
        <f t="shared" si="26"/>
        <v>--</v>
      </c>
      <c r="Y81" s="101" t="str">
        <f t="shared" si="26"/>
        <v>--</v>
      </c>
      <c r="Z81" s="101" t="str">
        <f t="shared" si="26"/>
        <v>--</v>
      </c>
      <c r="AA81" s="101" t="str">
        <f t="shared" si="26"/>
        <v>--</v>
      </c>
      <c r="AB81" s="101" t="str">
        <f t="shared" si="26"/>
        <v>--</v>
      </c>
      <c r="AC81" s="101" t="str">
        <f t="shared" si="26"/>
        <v>--</v>
      </c>
      <c r="AD81" s="101" t="str">
        <f t="shared" si="26"/>
        <v>--</v>
      </c>
      <c r="AE81" s="101" t="str">
        <f t="shared" si="26"/>
        <v>--</v>
      </c>
      <c r="AF81" s="101" t="str">
        <f t="shared" si="26"/>
        <v>--</v>
      </c>
      <c r="AG81" s="101" t="str">
        <f t="shared" si="26"/>
        <v>--</v>
      </c>
      <c r="AH81" s="101" t="str">
        <f t="shared" si="26"/>
        <v>--</v>
      </c>
      <c r="AI81" s="101" t="str">
        <f t="shared" si="26"/>
        <v>--</v>
      </c>
      <c r="AJ81" s="101" t="str">
        <f t="shared" si="26"/>
        <v>--</v>
      </c>
      <c r="AK81" s="101" t="str">
        <f t="shared" si="26"/>
        <v>--</v>
      </c>
      <c r="AL81" s="101" t="str">
        <f t="shared" si="26"/>
        <v>--</v>
      </c>
      <c r="AM81" s="101" t="str">
        <f t="shared" si="26"/>
        <v>--</v>
      </c>
      <c r="AN81" s="101" t="str">
        <f t="shared" si="26"/>
        <v>--</v>
      </c>
      <c r="AO81" s="101" t="str">
        <f t="shared" si="26"/>
        <v>--</v>
      </c>
      <c r="AP81" s="101" t="str">
        <f t="shared" si="26"/>
        <v>--</v>
      </c>
      <c r="AQ81" s="101" t="str">
        <f t="shared" si="26"/>
        <v>--</v>
      </c>
      <c r="AR81" s="101" t="str">
        <f t="shared" si="26"/>
        <v>--</v>
      </c>
      <c r="AS81" s="101" t="str">
        <f t="shared" si="26"/>
        <v>--</v>
      </c>
      <c r="AT81" s="101" t="str">
        <f t="shared" si="26"/>
        <v>--</v>
      </c>
      <c r="AU81" s="101" t="str">
        <f t="shared" si="26"/>
        <v>--</v>
      </c>
      <c r="AV81" s="101" t="str">
        <f t="shared" si="26"/>
        <v>--</v>
      </c>
      <c r="AW81" s="101" t="str">
        <f t="shared" si="26"/>
        <v>--</v>
      </c>
      <c r="AX81" s="101" t="str">
        <f t="shared" si="26"/>
        <v>--</v>
      </c>
      <c r="AY81" s="101" t="str">
        <f t="shared" si="26"/>
        <v>--</v>
      </c>
      <c r="AZ81" s="101" t="str">
        <f t="shared" si="26"/>
        <v>--</v>
      </c>
      <c r="BA81" s="101" t="str">
        <f t="shared" si="26"/>
        <v>--</v>
      </c>
      <c r="BB81" s="101" t="str">
        <f t="shared" si="26"/>
        <v>--</v>
      </c>
      <c r="BC81" s="101" t="str">
        <f t="shared" si="26"/>
        <v>--</v>
      </c>
      <c r="BD81" s="101" t="str">
        <f t="shared" si="26"/>
        <v>--</v>
      </c>
      <c r="BE81" s="101" t="str">
        <f t="shared" si="26"/>
        <v>--</v>
      </c>
      <c r="BF81" s="101" t="str">
        <f t="shared" si="26"/>
        <v>--</v>
      </c>
      <c r="BG81" s="101" t="str">
        <f t="shared" si="26"/>
        <v>--</v>
      </c>
      <c r="BH81" s="101" t="str">
        <f t="shared" si="26"/>
        <v>--</v>
      </c>
      <c r="BI81" s="101" t="str">
        <f t="shared" si="26"/>
        <v>--</v>
      </c>
      <c r="BJ81" s="101" t="str">
        <f t="shared" si="26"/>
        <v>--</v>
      </c>
      <c r="BK81" s="101" t="str">
        <f t="shared" si="26"/>
        <v>--</v>
      </c>
      <c r="BL81" s="101" t="str">
        <f t="shared" si="26"/>
        <v>--</v>
      </c>
    </row>
    <row r="82" spans="1:66">
      <c r="A82" s="97" t="s">
        <v>519</v>
      </c>
      <c r="B82" s="98" t="b">
        <v>1</v>
      </c>
      <c r="C82" s="102" t="str">
        <f>IF($B$80=FALSE,"--",SUM(D81:BL81))</f>
        <v>--</v>
      </c>
      <c r="D82" s="11" t="s">
        <v>551</v>
      </c>
      <c r="E82" s="11" t="s">
        <v>551</v>
      </c>
      <c r="F82" s="11" t="s">
        <v>551</v>
      </c>
      <c r="G82" s="11" t="s">
        <v>551</v>
      </c>
      <c r="H82" s="11" t="s">
        <v>551</v>
      </c>
      <c r="I82" s="11" t="s">
        <v>551</v>
      </c>
      <c r="J82" s="11" t="s">
        <v>551</v>
      </c>
      <c r="K82" s="11" t="s">
        <v>551</v>
      </c>
      <c r="L82" s="11" t="s">
        <v>551</v>
      </c>
      <c r="M82" s="11" t="s">
        <v>551</v>
      </c>
      <c r="N82" s="11" t="s">
        <v>551</v>
      </c>
      <c r="O82" s="11" t="s">
        <v>552</v>
      </c>
      <c r="P82" s="11" t="s">
        <v>551</v>
      </c>
      <c r="Q82" s="11" t="s">
        <v>552</v>
      </c>
      <c r="R82" s="11" t="s">
        <v>552</v>
      </c>
      <c r="S82" s="11" t="s">
        <v>552</v>
      </c>
      <c r="T82" s="11" t="s">
        <v>553</v>
      </c>
      <c r="U82" s="11" t="s">
        <v>552</v>
      </c>
      <c r="V82" s="11" t="s">
        <v>552</v>
      </c>
      <c r="W82" s="11" t="s">
        <v>552</v>
      </c>
      <c r="X82" s="11" t="s">
        <v>552</v>
      </c>
      <c r="Y82" s="11" t="s">
        <v>552</v>
      </c>
      <c r="Z82" s="11" t="s">
        <v>552</v>
      </c>
      <c r="AA82" s="11" t="s">
        <v>552</v>
      </c>
      <c r="AB82" s="11" t="s">
        <v>552</v>
      </c>
      <c r="AC82" s="11" t="s">
        <v>552</v>
      </c>
      <c r="AD82" s="11" t="s">
        <v>552</v>
      </c>
      <c r="AE82" s="11" t="s">
        <v>551</v>
      </c>
      <c r="AF82" s="11" t="s">
        <v>552</v>
      </c>
      <c r="AG82" s="11" t="s">
        <v>551</v>
      </c>
      <c r="AH82" s="11" t="s">
        <v>551</v>
      </c>
      <c r="AI82" s="11" t="s">
        <v>551</v>
      </c>
      <c r="AJ82" s="11" t="s">
        <v>551</v>
      </c>
      <c r="AK82" s="11" t="s">
        <v>551</v>
      </c>
      <c r="AL82" s="11" t="s">
        <v>552</v>
      </c>
      <c r="AM82" s="11" t="s">
        <v>551</v>
      </c>
      <c r="AN82" s="11" t="s">
        <v>551</v>
      </c>
      <c r="AO82" s="11" t="s">
        <v>554</v>
      </c>
      <c r="AP82" s="11" t="s">
        <v>554</v>
      </c>
      <c r="AQ82" s="11" t="s">
        <v>554</v>
      </c>
      <c r="AR82" s="11" t="s">
        <v>554</v>
      </c>
      <c r="AS82" s="11" t="s">
        <v>554</v>
      </c>
      <c r="AT82" s="11" t="s">
        <v>554</v>
      </c>
      <c r="AU82" s="11" t="s">
        <v>554</v>
      </c>
      <c r="AV82" s="11" t="s">
        <v>554</v>
      </c>
      <c r="AW82" s="11" t="s">
        <v>554</v>
      </c>
      <c r="AX82" s="11" t="s">
        <v>554</v>
      </c>
      <c r="AY82" s="11" t="s">
        <v>554</v>
      </c>
      <c r="AZ82" s="11" t="s">
        <v>554</v>
      </c>
      <c r="BA82" s="11" t="s">
        <v>554</v>
      </c>
      <c r="BB82" s="11" t="s">
        <v>554</v>
      </c>
      <c r="BC82" s="11" t="s">
        <v>554</v>
      </c>
      <c r="BD82" s="11" t="s">
        <v>554</v>
      </c>
      <c r="BE82" s="11" t="s">
        <v>554</v>
      </c>
      <c r="BF82" s="11" t="s">
        <v>554</v>
      </c>
      <c r="BG82" s="11" t="s">
        <v>554</v>
      </c>
      <c r="BH82" s="11" t="s">
        <v>554</v>
      </c>
      <c r="BI82" s="11" t="s">
        <v>554</v>
      </c>
      <c r="BJ82" s="11" t="s">
        <v>554</v>
      </c>
      <c r="BK82" s="11" t="s">
        <v>554</v>
      </c>
      <c r="BL82" s="11" t="s">
        <v>554</v>
      </c>
      <c r="BM82" s="11"/>
    </row>
    <row r="83" spans="1:66" ht="63">
      <c r="A83" s="41"/>
      <c r="B83" s="103"/>
      <c r="C83" s="114"/>
      <c r="D83" s="57" t="s">
        <v>75</v>
      </c>
      <c r="E83" s="57" t="s">
        <v>520</v>
      </c>
      <c r="F83" s="57" t="s">
        <v>521</v>
      </c>
      <c r="G83" s="57" t="s">
        <v>76</v>
      </c>
      <c r="H83" s="57" t="s">
        <v>522</v>
      </c>
      <c r="I83" s="57" t="s">
        <v>77</v>
      </c>
      <c r="J83" s="57" t="s">
        <v>523</v>
      </c>
      <c r="K83" s="57" t="s">
        <v>524</v>
      </c>
      <c r="L83" s="57" t="s">
        <v>525</v>
      </c>
      <c r="M83" s="57" t="s">
        <v>78</v>
      </c>
      <c r="N83" s="57" t="s">
        <v>526</v>
      </c>
      <c r="O83" s="57" t="s">
        <v>79</v>
      </c>
      <c r="P83" s="57" t="s">
        <v>21</v>
      </c>
      <c r="Q83" s="57" t="s">
        <v>506</v>
      </c>
      <c r="R83" s="57" t="s">
        <v>80</v>
      </c>
      <c r="S83" s="57" t="s">
        <v>81</v>
      </c>
      <c r="T83" s="57" t="s">
        <v>82</v>
      </c>
      <c r="U83" s="57" t="s">
        <v>83</v>
      </c>
      <c r="V83" s="57" t="s">
        <v>85</v>
      </c>
      <c r="W83" s="57" t="s">
        <v>507</v>
      </c>
      <c r="X83" s="57" t="s">
        <v>508</v>
      </c>
      <c r="Y83" s="57" t="s">
        <v>509</v>
      </c>
      <c r="Z83" s="57" t="s">
        <v>510</v>
      </c>
      <c r="AA83" s="57" t="s">
        <v>511</v>
      </c>
      <c r="AB83" s="57" t="s">
        <v>512</v>
      </c>
      <c r="AC83" s="57" t="s">
        <v>18</v>
      </c>
      <c r="AD83" s="57" t="s">
        <v>20</v>
      </c>
      <c r="AE83" s="57" t="s">
        <v>84</v>
      </c>
      <c r="AF83" s="57" t="s">
        <v>85</v>
      </c>
      <c r="AG83" s="57" t="s">
        <v>86</v>
      </c>
      <c r="AH83" s="57" t="s">
        <v>39</v>
      </c>
      <c r="AI83" s="57" t="s">
        <v>40</v>
      </c>
      <c r="AJ83" s="57" t="s">
        <v>87</v>
      </c>
      <c r="AK83" s="57" t="s">
        <v>88</v>
      </c>
      <c r="AL83" s="57" t="s">
        <v>44</v>
      </c>
      <c r="AM83" s="57" t="s">
        <v>36</v>
      </c>
      <c r="AN83" s="57" t="s">
        <v>38</v>
      </c>
      <c r="AO83" s="57" t="s">
        <v>527</v>
      </c>
      <c r="AP83" s="57" t="s">
        <v>528</v>
      </c>
      <c r="AQ83" s="57" t="s">
        <v>529</v>
      </c>
      <c r="AR83" s="57" t="s">
        <v>530</v>
      </c>
      <c r="AS83" s="57" t="s">
        <v>531</v>
      </c>
      <c r="AT83" s="57" t="s">
        <v>532</v>
      </c>
      <c r="AU83" s="57" t="s">
        <v>533</v>
      </c>
      <c r="AV83" s="57" t="s">
        <v>534</v>
      </c>
      <c r="AW83" s="57" t="s">
        <v>535</v>
      </c>
      <c r="AX83" s="57" t="s">
        <v>536</v>
      </c>
      <c r="AY83" s="57" t="s">
        <v>537</v>
      </c>
      <c r="AZ83" s="57" t="s">
        <v>538</v>
      </c>
      <c r="BA83" s="57" t="s">
        <v>539</v>
      </c>
      <c r="BB83" s="57" t="s">
        <v>540</v>
      </c>
      <c r="BC83" s="57" t="s">
        <v>541</v>
      </c>
      <c r="BD83" s="57" t="s">
        <v>542</v>
      </c>
      <c r="BE83" s="57" t="s">
        <v>543</v>
      </c>
      <c r="BF83" s="57" t="s">
        <v>544</v>
      </c>
      <c r="BG83" s="57" t="s">
        <v>545</v>
      </c>
      <c r="BH83" s="57" t="s">
        <v>546</v>
      </c>
      <c r="BI83" s="57" t="s">
        <v>547</v>
      </c>
      <c r="BJ83" s="57" t="s">
        <v>548</v>
      </c>
      <c r="BK83" s="57" t="s">
        <v>549</v>
      </c>
      <c r="BL83" s="57" t="s">
        <v>550</v>
      </c>
      <c r="BM83" s="103"/>
      <c r="BN83" s="103"/>
    </row>
    <row r="84" spans="1:66">
      <c r="D84" s="58">
        <v>70000</v>
      </c>
      <c r="E84" s="58">
        <v>5228</v>
      </c>
      <c r="F84" s="58">
        <v>4162</v>
      </c>
      <c r="G84" s="58">
        <v>1215</v>
      </c>
      <c r="H84" s="58">
        <v>1317</v>
      </c>
      <c r="I84" s="58">
        <v>1512</v>
      </c>
      <c r="J84" s="58">
        <v>1785</v>
      </c>
      <c r="K84" s="58">
        <v>3711</v>
      </c>
      <c r="L84" s="58">
        <v>1974</v>
      </c>
      <c r="M84" s="58">
        <v>1695</v>
      </c>
      <c r="N84" s="58">
        <v>1032</v>
      </c>
      <c r="O84" s="59">
        <v>0.4</v>
      </c>
      <c r="P84" s="58">
        <v>900</v>
      </c>
      <c r="Q84" s="60">
        <v>0.125</v>
      </c>
      <c r="R84" s="60">
        <v>0.1142</v>
      </c>
      <c r="S84" s="60">
        <v>0.02</v>
      </c>
      <c r="T84" s="61">
        <v>10</v>
      </c>
      <c r="U84" s="60">
        <v>0.27531131564699513</v>
      </c>
      <c r="V84" s="104">
        <f t="shared" ref="V84:V92" si="27">R84</f>
        <v>0.1142</v>
      </c>
      <c r="W84" s="84">
        <f t="shared" ref="W84:W92" si="28">P84/F84</f>
        <v>0.21624219125420471</v>
      </c>
      <c r="X84" s="84">
        <f t="shared" ref="X84:X92" si="29">M84*(1-O84)/(F84+H84-J84)</f>
        <v>0.27531131564699513</v>
      </c>
      <c r="Y84" s="84">
        <f t="shared" ref="Y84:Y92" si="30">P84/K84</f>
        <v>0.24252223120452709</v>
      </c>
      <c r="Z84" s="84">
        <f t="shared" ref="Z84:Z92" si="31">M84*(1-O84)/K84</f>
        <v>0.27405012126111561</v>
      </c>
      <c r="AA84" s="84">
        <f t="shared" ref="AA84:AA92" si="32">G84/E84</f>
        <v>0.23240244835501148</v>
      </c>
      <c r="AB84" s="84">
        <f t="shared" ref="AB84:AB92" si="33">G84/D84</f>
        <v>1.7357142857142856E-2</v>
      </c>
      <c r="AC84" s="89">
        <f t="shared" ref="AC84:AC92" si="34">K84/L84-1</f>
        <v>0.87993920972644379</v>
      </c>
      <c r="AD84" s="89">
        <f t="shared" ref="AD84:AD92" si="35">(M84/N84)-1</f>
        <v>0.64244186046511631</v>
      </c>
      <c r="AE84" s="62">
        <f t="shared" ref="AE84:AE92" si="36">M84*(1-O84)/R84</f>
        <v>8905.4290718038537</v>
      </c>
      <c r="AF84" s="105">
        <f t="shared" ref="AF84:AF92" si="37">IF(OR($B$82=TRUE,V84=""),GROWTH_WORTH_SOLVER_FUNC(D84,G84,I84,M84,O84,U84,T84,R84,S84,"",1),V84)</f>
        <v>0.37674438700974111</v>
      </c>
      <c r="AG84" s="64">
        <f t="shared" ref="AG84:AG92" si="38">GROWTH_WORTH_SOLVER_FUNC(D84,G84,I84,M84,O84,U84,T84,R84,S84,AF84)</f>
        <v>60797.570928196219</v>
      </c>
      <c r="AH84" s="65">
        <f t="shared" ref="AH84:AH92" si="39">AE84+AG84</f>
        <v>69703.000000000073</v>
      </c>
      <c r="AI84" s="65">
        <f t="shared" ref="AI84:AI92" si="40">AH84-G84+I84</f>
        <v>70000.000000000073</v>
      </c>
      <c r="AJ84" s="65">
        <f t="shared" ref="AJ84:AJ92" si="41">(D84+G84-I84-AE84)</f>
        <v>60797.570928196146</v>
      </c>
      <c r="AK84" s="65">
        <f t="shared" ref="AK84:AK92" si="42">AG84</f>
        <v>60797.570928196219</v>
      </c>
      <c r="AL84" s="89">
        <f>IF(AK84=0,0,AJ84/AK84)</f>
        <v>0.99999999999999878</v>
      </c>
      <c r="AM84" s="62">
        <f t="shared" ref="AM84:AM92" si="43">D84</f>
        <v>70000</v>
      </c>
      <c r="AN84" s="62">
        <f t="shared" ref="AN84:AN92" si="44">D84+G84-I84</f>
        <v>69703</v>
      </c>
      <c r="AO84" s="95">
        <f t="shared" ref="AO84:AO92" si="45">D84/P84</f>
        <v>77.777777777777771</v>
      </c>
      <c r="AP84" s="95">
        <f t="shared" ref="AP84:AP92" si="46">(AG84+AE84-G84+I84)/P84</f>
        <v>77.777777777777857</v>
      </c>
      <c r="AQ84" s="95">
        <f t="shared" ref="AQ84:AQ92" si="47">(AE84-G84+I84)/P84</f>
        <v>10.224921190893172</v>
      </c>
      <c r="AR84" s="95">
        <f t="shared" ref="AR84:AR92" si="48">AQ84</f>
        <v>10.224921190893172</v>
      </c>
      <c r="AS84" s="95">
        <f t="shared" ref="AS84:AS92" si="49">AO84-AQ84</f>
        <v>67.552856586884602</v>
      </c>
      <c r="AT84" s="95">
        <f t="shared" ref="AT84:AT92" si="50">AP84-AR84</f>
        <v>67.552856586884687</v>
      </c>
      <c r="AU84" s="95">
        <f t="shared" ref="AU84:AU92" si="51">D84/E84</f>
        <v>13.389441469013008</v>
      </c>
      <c r="AV84" s="95">
        <f t="shared" ref="AV84:AV92" si="52">(AG84+AE84-G84+I84)/E84</f>
        <v>13.38944146901302</v>
      </c>
      <c r="AW84" s="95">
        <f t="shared" ref="AW84:AW92" si="53">(AE84-G84+I84)/E84</f>
        <v>1.7602197918523057</v>
      </c>
      <c r="AX84" s="95">
        <f t="shared" ref="AX84:AX92" si="54">AW84</f>
        <v>1.7602197918523057</v>
      </c>
      <c r="AY84" s="95">
        <f t="shared" ref="AY84:AY92" si="55">AU84-AW84</f>
        <v>11.629221677160702</v>
      </c>
      <c r="AZ84" s="95">
        <f t="shared" ref="AZ84:AZ92" si="56">AV84-AX84</f>
        <v>11.629221677160714</v>
      </c>
      <c r="BA84" s="95">
        <f t="shared" ref="BA84:BA92" si="57">D84/K84</f>
        <v>18.862840204796552</v>
      </c>
      <c r="BB84" s="95">
        <f t="shared" ref="BB84:BB92" si="58">(AG84+AE84)/K84</f>
        <v>18.782807868499077</v>
      </c>
      <c r="BC84" s="95">
        <f t="shared" ref="BC84:BC92" si="59">AE84/K84</f>
        <v>2.3997383648083681</v>
      </c>
      <c r="BD84" s="95">
        <f t="shared" ref="BD84:BD92" si="60">BC84</f>
        <v>2.3997383648083681</v>
      </c>
      <c r="BE84" s="95">
        <f t="shared" ref="BE84:BE92" si="61">BA84-BC84</f>
        <v>16.463101839988184</v>
      </c>
      <c r="BF84" s="95">
        <f t="shared" ref="BF84:BF92" si="62">BB84-BD84</f>
        <v>16.383069503690709</v>
      </c>
      <c r="BG84" s="95">
        <f t="shared" ref="BG84:BG92" si="63">D84/(E84+G84-I84)</f>
        <v>14.195903467856418</v>
      </c>
      <c r="BH84" s="95">
        <f t="shared" ref="BH84:BH92" si="64">(AG84+AE84)/(E84+G84-I84)</f>
        <v>14.135672277428528</v>
      </c>
      <c r="BI84" s="95">
        <f t="shared" ref="BI84:BI92" si="65">AE84/(E84+G84-I84)</f>
        <v>1.8060087349024243</v>
      </c>
      <c r="BJ84" s="95">
        <f t="shared" ref="BJ84:BJ92" si="66">BI84</f>
        <v>1.8060087349024243</v>
      </c>
      <c r="BK84" s="95">
        <f t="shared" ref="BK84:BK92" si="67">BG84-BI84</f>
        <v>12.389894732953994</v>
      </c>
      <c r="BL84" s="95">
        <f t="shared" ref="BL84:BL92" si="68">BH84-BJ84</f>
        <v>12.329663542526104</v>
      </c>
    </row>
    <row r="85" spans="1:66">
      <c r="D85" s="58">
        <v>70000</v>
      </c>
      <c r="E85" s="58">
        <v>5228</v>
      </c>
      <c r="F85" s="58">
        <v>4162</v>
      </c>
      <c r="G85" s="58">
        <v>1215</v>
      </c>
      <c r="H85" s="58">
        <v>1317</v>
      </c>
      <c r="I85" s="58">
        <v>1512</v>
      </c>
      <c r="J85" s="58">
        <v>1785</v>
      </c>
      <c r="K85" s="58">
        <v>3711</v>
      </c>
      <c r="L85" s="58">
        <v>1974</v>
      </c>
      <c r="M85" s="58">
        <v>1695</v>
      </c>
      <c r="N85" s="58">
        <v>1032</v>
      </c>
      <c r="O85" s="59">
        <v>0.4</v>
      </c>
      <c r="P85" s="58">
        <v>900</v>
      </c>
      <c r="Q85" s="60">
        <v>0.125</v>
      </c>
      <c r="R85" s="60">
        <v>0.1142</v>
      </c>
      <c r="S85" s="60">
        <v>0.02</v>
      </c>
      <c r="T85" s="61">
        <v>10</v>
      </c>
      <c r="U85" s="60">
        <v>0.27531131564699513</v>
      </c>
      <c r="V85" s="104">
        <f t="shared" si="27"/>
        <v>0.1142</v>
      </c>
      <c r="W85" s="84">
        <f t="shared" si="28"/>
        <v>0.21624219125420471</v>
      </c>
      <c r="X85" s="84">
        <f t="shared" si="29"/>
        <v>0.27531131564699513</v>
      </c>
      <c r="Y85" s="84">
        <f t="shared" si="30"/>
        <v>0.24252223120452709</v>
      </c>
      <c r="Z85" s="84">
        <f t="shared" si="31"/>
        <v>0.27405012126111561</v>
      </c>
      <c r="AA85" s="84">
        <f t="shared" si="32"/>
        <v>0.23240244835501148</v>
      </c>
      <c r="AB85" s="84">
        <f t="shared" si="33"/>
        <v>1.7357142857142856E-2</v>
      </c>
      <c r="AC85" s="89">
        <f t="shared" si="34"/>
        <v>0.87993920972644379</v>
      </c>
      <c r="AD85" s="89">
        <f t="shared" si="35"/>
        <v>0.64244186046511631</v>
      </c>
      <c r="AE85" s="62">
        <f t="shared" si="36"/>
        <v>8905.4290718038537</v>
      </c>
      <c r="AF85" s="105">
        <f t="shared" si="37"/>
        <v>0.37674438700974111</v>
      </c>
      <c r="AG85" s="64">
        <f t="shared" si="38"/>
        <v>60797.570928196219</v>
      </c>
      <c r="AH85" s="65">
        <f t="shared" si="39"/>
        <v>69703.000000000073</v>
      </c>
      <c r="AI85" s="65">
        <f t="shared" si="40"/>
        <v>70000.000000000073</v>
      </c>
      <c r="AJ85" s="65">
        <f t="shared" si="41"/>
        <v>60797.570928196146</v>
      </c>
      <c r="AK85" s="65">
        <f t="shared" si="42"/>
        <v>60797.570928196219</v>
      </c>
      <c r="AL85" s="89">
        <f t="shared" ref="AL85:AL92" si="69">AJ85/AK85</f>
        <v>0.99999999999999878</v>
      </c>
      <c r="AM85" s="62">
        <f t="shared" si="43"/>
        <v>70000</v>
      </c>
      <c r="AN85" s="62">
        <f t="shared" si="44"/>
        <v>69703</v>
      </c>
      <c r="AO85" s="95">
        <f t="shared" si="45"/>
        <v>77.777777777777771</v>
      </c>
      <c r="AP85" s="95">
        <f t="shared" si="46"/>
        <v>77.777777777777857</v>
      </c>
      <c r="AQ85" s="95">
        <f t="shared" si="47"/>
        <v>10.224921190893172</v>
      </c>
      <c r="AR85" s="95">
        <f t="shared" si="48"/>
        <v>10.224921190893172</v>
      </c>
      <c r="AS85" s="95">
        <f t="shared" si="49"/>
        <v>67.552856586884602</v>
      </c>
      <c r="AT85" s="95">
        <f t="shared" si="50"/>
        <v>67.552856586884687</v>
      </c>
      <c r="AU85" s="95">
        <f t="shared" si="51"/>
        <v>13.389441469013008</v>
      </c>
      <c r="AV85" s="95">
        <f t="shared" si="52"/>
        <v>13.38944146901302</v>
      </c>
      <c r="AW85" s="95">
        <f t="shared" si="53"/>
        <v>1.7602197918523057</v>
      </c>
      <c r="AX85" s="95">
        <f t="shared" si="54"/>
        <v>1.7602197918523057</v>
      </c>
      <c r="AY85" s="95">
        <f t="shared" si="55"/>
        <v>11.629221677160702</v>
      </c>
      <c r="AZ85" s="95">
        <f t="shared" si="56"/>
        <v>11.629221677160714</v>
      </c>
      <c r="BA85" s="95">
        <f t="shared" si="57"/>
        <v>18.862840204796552</v>
      </c>
      <c r="BB85" s="95">
        <f t="shared" si="58"/>
        <v>18.782807868499077</v>
      </c>
      <c r="BC85" s="95">
        <f t="shared" si="59"/>
        <v>2.3997383648083681</v>
      </c>
      <c r="BD85" s="95">
        <f t="shared" si="60"/>
        <v>2.3997383648083681</v>
      </c>
      <c r="BE85" s="95">
        <f t="shared" si="61"/>
        <v>16.463101839988184</v>
      </c>
      <c r="BF85" s="95">
        <f t="shared" si="62"/>
        <v>16.383069503690709</v>
      </c>
      <c r="BG85" s="95">
        <f t="shared" si="63"/>
        <v>14.195903467856418</v>
      </c>
      <c r="BH85" s="95">
        <f t="shared" si="64"/>
        <v>14.135672277428528</v>
      </c>
      <c r="BI85" s="95">
        <f t="shared" si="65"/>
        <v>1.8060087349024243</v>
      </c>
      <c r="BJ85" s="95">
        <f t="shared" si="66"/>
        <v>1.8060087349024243</v>
      </c>
      <c r="BK85" s="95">
        <f t="shared" si="67"/>
        <v>12.389894732953994</v>
      </c>
      <c r="BL85" s="95">
        <f t="shared" si="68"/>
        <v>12.329663542526104</v>
      </c>
    </row>
    <row r="86" spans="1:66">
      <c r="D86" s="58">
        <v>70000</v>
      </c>
      <c r="E86" s="58">
        <v>5228</v>
      </c>
      <c r="F86" s="58">
        <v>4162</v>
      </c>
      <c r="G86" s="58">
        <v>1215</v>
      </c>
      <c r="H86" s="58">
        <v>1317</v>
      </c>
      <c r="I86" s="58">
        <v>1512</v>
      </c>
      <c r="J86" s="58">
        <v>1785</v>
      </c>
      <c r="K86" s="58">
        <v>3711</v>
      </c>
      <c r="L86" s="58">
        <v>1974</v>
      </c>
      <c r="M86" s="58">
        <v>1695</v>
      </c>
      <c r="N86" s="58">
        <v>1032</v>
      </c>
      <c r="O86" s="59">
        <v>0.4</v>
      </c>
      <c r="P86" s="58">
        <v>900</v>
      </c>
      <c r="Q86" s="60">
        <v>0.125</v>
      </c>
      <c r="R86" s="60">
        <v>0.1142</v>
      </c>
      <c r="S86" s="60">
        <v>0.02</v>
      </c>
      <c r="T86" s="61">
        <v>10</v>
      </c>
      <c r="U86" s="60">
        <v>0.27531131564699513</v>
      </c>
      <c r="V86" s="104">
        <f t="shared" si="27"/>
        <v>0.1142</v>
      </c>
      <c r="W86" s="84">
        <f t="shared" si="28"/>
        <v>0.21624219125420471</v>
      </c>
      <c r="X86" s="84">
        <f t="shared" si="29"/>
        <v>0.27531131564699513</v>
      </c>
      <c r="Y86" s="84">
        <f t="shared" si="30"/>
        <v>0.24252223120452709</v>
      </c>
      <c r="Z86" s="84">
        <f t="shared" si="31"/>
        <v>0.27405012126111561</v>
      </c>
      <c r="AA86" s="84">
        <f t="shared" si="32"/>
        <v>0.23240244835501148</v>
      </c>
      <c r="AB86" s="84">
        <f t="shared" si="33"/>
        <v>1.7357142857142856E-2</v>
      </c>
      <c r="AC86" s="89">
        <f t="shared" si="34"/>
        <v>0.87993920972644379</v>
      </c>
      <c r="AD86" s="89">
        <f t="shared" si="35"/>
        <v>0.64244186046511631</v>
      </c>
      <c r="AE86" s="62">
        <f t="shared" si="36"/>
        <v>8905.4290718038537</v>
      </c>
      <c r="AF86" s="105">
        <f t="shared" si="37"/>
        <v>0.37674438700974111</v>
      </c>
      <c r="AG86" s="64">
        <f t="shared" si="38"/>
        <v>60797.570928196219</v>
      </c>
      <c r="AH86" s="65">
        <f t="shared" si="39"/>
        <v>69703.000000000073</v>
      </c>
      <c r="AI86" s="65">
        <f t="shared" si="40"/>
        <v>70000.000000000073</v>
      </c>
      <c r="AJ86" s="65">
        <f t="shared" si="41"/>
        <v>60797.570928196146</v>
      </c>
      <c r="AK86" s="65">
        <f t="shared" si="42"/>
        <v>60797.570928196219</v>
      </c>
      <c r="AL86" s="89">
        <f t="shared" si="69"/>
        <v>0.99999999999999878</v>
      </c>
      <c r="AM86" s="62">
        <f t="shared" si="43"/>
        <v>70000</v>
      </c>
      <c r="AN86" s="62">
        <f t="shared" si="44"/>
        <v>69703</v>
      </c>
      <c r="AO86" s="95">
        <f t="shared" si="45"/>
        <v>77.777777777777771</v>
      </c>
      <c r="AP86" s="95">
        <f t="shared" si="46"/>
        <v>77.777777777777857</v>
      </c>
      <c r="AQ86" s="95">
        <f t="shared" si="47"/>
        <v>10.224921190893172</v>
      </c>
      <c r="AR86" s="95">
        <f t="shared" si="48"/>
        <v>10.224921190893172</v>
      </c>
      <c r="AS86" s="95">
        <f t="shared" si="49"/>
        <v>67.552856586884602</v>
      </c>
      <c r="AT86" s="95">
        <f t="shared" si="50"/>
        <v>67.552856586884687</v>
      </c>
      <c r="AU86" s="95">
        <f t="shared" si="51"/>
        <v>13.389441469013008</v>
      </c>
      <c r="AV86" s="95">
        <f t="shared" si="52"/>
        <v>13.38944146901302</v>
      </c>
      <c r="AW86" s="95">
        <f t="shared" si="53"/>
        <v>1.7602197918523057</v>
      </c>
      <c r="AX86" s="95">
        <f t="shared" si="54"/>
        <v>1.7602197918523057</v>
      </c>
      <c r="AY86" s="95">
        <f t="shared" si="55"/>
        <v>11.629221677160702</v>
      </c>
      <c r="AZ86" s="95">
        <f t="shared" si="56"/>
        <v>11.629221677160714</v>
      </c>
      <c r="BA86" s="95">
        <f t="shared" si="57"/>
        <v>18.862840204796552</v>
      </c>
      <c r="BB86" s="95">
        <f t="shared" si="58"/>
        <v>18.782807868499077</v>
      </c>
      <c r="BC86" s="95">
        <f t="shared" si="59"/>
        <v>2.3997383648083681</v>
      </c>
      <c r="BD86" s="95">
        <f t="shared" si="60"/>
        <v>2.3997383648083681</v>
      </c>
      <c r="BE86" s="95">
        <f t="shared" si="61"/>
        <v>16.463101839988184</v>
      </c>
      <c r="BF86" s="95">
        <f t="shared" si="62"/>
        <v>16.383069503690709</v>
      </c>
      <c r="BG86" s="95">
        <f t="shared" si="63"/>
        <v>14.195903467856418</v>
      </c>
      <c r="BH86" s="95">
        <f t="shared" si="64"/>
        <v>14.135672277428528</v>
      </c>
      <c r="BI86" s="95">
        <f t="shared" si="65"/>
        <v>1.8060087349024243</v>
      </c>
      <c r="BJ86" s="95">
        <f t="shared" si="66"/>
        <v>1.8060087349024243</v>
      </c>
      <c r="BK86" s="95">
        <f t="shared" si="67"/>
        <v>12.389894732953994</v>
      </c>
      <c r="BL86" s="95">
        <f t="shared" si="68"/>
        <v>12.329663542526104</v>
      </c>
    </row>
    <row r="87" spans="1:66">
      <c r="D87" s="58">
        <v>70000</v>
      </c>
      <c r="E87" s="58">
        <v>5228</v>
      </c>
      <c r="F87" s="58">
        <v>4162</v>
      </c>
      <c r="G87" s="58">
        <v>1215</v>
      </c>
      <c r="H87" s="58">
        <v>1317</v>
      </c>
      <c r="I87" s="58">
        <v>1512</v>
      </c>
      <c r="J87" s="58">
        <v>1785</v>
      </c>
      <c r="K87" s="58">
        <v>3711</v>
      </c>
      <c r="L87" s="58">
        <v>1974</v>
      </c>
      <c r="M87" s="58">
        <v>1695</v>
      </c>
      <c r="N87" s="58">
        <v>1032</v>
      </c>
      <c r="O87" s="59">
        <v>0.4</v>
      </c>
      <c r="P87" s="58">
        <v>900</v>
      </c>
      <c r="Q87" s="60">
        <v>0.125</v>
      </c>
      <c r="R87" s="60">
        <v>0.1142</v>
      </c>
      <c r="S87" s="60">
        <v>0.02</v>
      </c>
      <c r="T87" s="61">
        <v>10</v>
      </c>
      <c r="U87" s="60">
        <v>0.27531131564699513</v>
      </c>
      <c r="V87" s="104">
        <f t="shared" si="27"/>
        <v>0.1142</v>
      </c>
      <c r="W87" s="84">
        <f t="shared" si="28"/>
        <v>0.21624219125420471</v>
      </c>
      <c r="X87" s="84">
        <f t="shared" si="29"/>
        <v>0.27531131564699513</v>
      </c>
      <c r="Y87" s="84">
        <f t="shared" si="30"/>
        <v>0.24252223120452709</v>
      </c>
      <c r="Z87" s="84">
        <f t="shared" si="31"/>
        <v>0.27405012126111561</v>
      </c>
      <c r="AA87" s="84">
        <f t="shared" si="32"/>
        <v>0.23240244835501148</v>
      </c>
      <c r="AB87" s="84">
        <f t="shared" si="33"/>
        <v>1.7357142857142856E-2</v>
      </c>
      <c r="AC87" s="89">
        <f t="shared" si="34"/>
        <v>0.87993920972644379</v>
      </c>
      <c r="AD87" s="89">
        <f t="shared" si="35"/>
        <v>0.64244186046511631</v>
      </c>
      <c r="AE87" s="62">
        <f t="shared" si="36"/>
        <v>8905.4290718038537</v>
      </c>
      <c r="AF87" s="105">
        <f t="shared" si="37"/>
        <v>0.37674438700974111</v>
      </c>
      <c r="AG87" s="64">
        <f t="shared" si="38"/>
        <v>60797.570928196219</v>
      </c>
      <c r="AH87" s="65">
        <f t="shared" si="39"/>
        <v>69703.000000000073</v>
      </c>
      <c r="AI87" s="65">
        <f t="shared" si="40"/>
        <v>70000.000000000073</v>
      </c>
      <c r="AJ87" s="65">
        <f t="shared" si="41"/>
        <v>60797.570928196146</v>
      </c>
      <c r="AK87" s="65">
        <f t="shared" si="42"/>
        <v>60797.570928196219</v>
      </c>
      <c r="AL87" s="89">
        <f t="shared" si="69"/>
        <v>0.99999999999999878</v>
      </c>
      <c r="AM87" s="62">
        <f t="shared" si="43"/>
        <v>70000</v>
      </c>
      <c r="AN87" s="62">
        <f t="shared" si="44"/>
        <v>69703</v>
      </c>
      <c r="AO87" s="95">
        <f t="shared" si="45"/>
        <v>77.777777777777771</v>
      </c>
      <c r="AP87" s="95">
        <f t="shared" si="46"/>
        <v>77.777777777777857</v>
      </c>
      <c r="AQ87" s="95">
        <f t="shared" si="47"/>
        <v>10.224921190893172</v>
      </c>
      <c r="AR87" s="95">
        <f t="shared" si="48"/>
        <v>10.224921190893172</v>
      </c>
      <c r="AS87" s="95">
        <f t="shared" si="49"/>
        <v>67.552856586884602</v>
      </c>
      <c r="AT87" s="95">
        <f t="shared" si="50"/>
        <v>67.552856586884687</v>
      </c>
      <c r="AU87" s="95">
        <f t="shared" si="51"/>
        <v>13.389441469013008</v>
      </c>
      <c r="AV87" s="95">
        <f t="shared" si="52"/>
        <v>13.38944146901302</v>
      </c>
      <c r="AW87" s="95">
        <f t="shared" si="53"/>
        <v>1.7602197918523057</v>
      </c>
      <c r="AX87" s="95">
        <f t="shared" si="54"/>
        <v>1.7602197918523057</v>
      </c>
      <c r="AY87" s="95">
        <f t="shared" si="55"/>
        <v>11.629221677160702</v>
      </c>
      <c r="AZ87" s="95">
        <f t="shared" si="56"/>
        <v>11.629221677160714</v>
      </c>
      <c r="BA87" s="95">
        <f t="shared" si="57"/>
        <v>18.862840204796552</v>
      </c>
      <c r="BB87" s="95">
        <f t="shared" si="58"/>
        <v>18.782807868499077</v>
      </c>
      <c r="BC87" s="95">
        <f t="shared" si="59"/>
        <v>2.3997383648083681</v>
      </c>
      <c r="BD87" s="95">
        <f t="shared" si="60"/>
        <v>2.3997383648083681</v>
      </c>
      <c r="BE87" s="95">
        <f t="shared" si="61"/>
        <v>16.463101839988184</v>
      </c>
      <c r="BF87" s="95">
        <f t="shared" si="62"/>
        <v>16.383069503690709</v>
      </c>
      <c r="BG87" s="95">
        <f t="shared" si="63"/>
        <v>14.195903467856418</v>
      </c>
      <c r="BH87" s="95">
        <f t="shared" si="64"/>
        <v>14.135672277428528</v>
      </c>
      <c r="BI87" s="95">
        <f t="shared" si="65"/>
        <v>1.8060087349024243</v>
      </c>
      <c r="BJ87" s="95">
        <f t="shared" si="66"/>
        <v>1.8060087349024243</v>
      </c>
      <c r="BK87" s="95">
        <f t="shared" si="67"/>
        <v>12.389894732953994</v>
      </c>
      <c r="BL87" s="95">
        <f t="shared" si="68"/>
        <v>12.329663542526104</v>
      </c>
    </row>
    <row r="88" spans="1:66">
      <c r="D88" s="58">
        <v>70000</v>
      </c>
      <c r="E88" s="58">
        <v>5228</v>
      </c>
      <c r="F88" s="58">
        <v>4162</v>
      </c>
      <c r="G88" s="58">
        <v>1215</v>
      </c>
      <c r="H88" s="58">
        <v>1317</v>
      </c>
      <c r="I88" s="58">
        <v>1512</v>
      </c>
      <c r="J88" s="58">
        <v>1785</v>
      </c>
      <c r="K88" s="58">
        <v>3711</v>
      </c>
      <c r="L88" s="58">
        <v>1974</v>
      </c>
      <c r="M88" s="58">
        <v>1695</v>
      </c>
      <c r="N88" s="58">
        <v>1032</v>
      </c>
      <c r="O88" s="59">
        <v>0.4</v>
      </c>
      <c r="P88" s="58">
        <v>900</v>
      </c>
      <c r="Q88" s="60">
        <v>0.125</v>
      </c>
      <c r="R88" s="60">
        <v>0.1142</v>
      </c>
      <c r="S88" s="60">
        <v>0.02</v>
      </c>
      <c r="T88" s="61">
        <v>10</v>
      </c>
      <c r="U88" s="60">
        <v>0.27531131564699513</v>
      </c>
      <c r="V88" s="104">
        <f t="shared" si="27"/>
        <v>0.1142</v>
      </c>
      <c r="W88" s="84">
        <f t="shared" si="28"/>
        <v>0.21624219125420471</v>
      </c>
      <c r="X88" s="84">
        <f t="shared" si="29"/>
        <v>0.27531131564699513</v>
      </c>
      <c r="Y88" s="84">
        <f t="shared" si="30"/>
        <v>0.24252223120452709</v>
      </c>
      <c r="Z88" s="84">
        <f t="shared" si="31"/>
        <v>0.27405012126111561</v>
      </c>
      <c r="AA88" s="84">
        <f t="shared" si="32"/>
        <v>0.23240244835501148</v>
      </c>
      <c r="AB88" s="84">
        <f t="shared" si="33"/>
        <v>1.7357142857142856E-2</v>
      </c>
      <c r="AC88" s="89">
        <f t="shared" si="34"/>
        <v>0.87993920972644379</v>
      </c>
      <c r="AD88" s="89">
        <f t="shared" si="35"/>
        <v>0.64244186046511631</v>
      </c>
      <c r="AE88" s="62">
        <f t="shared" si="36"/>
        <v>8905.4290718038537</v>
      </c>
      <c r="AF88" s="105">
        <f t="shared" si="37"/>
        <v>0.37674438700974111</v>
      </c>
      <c r="AG88" s="64">
        <f t="shared" si="38"/>
        <v>60797.570928196219</v>
      </c>
      <c r="AH88" s="65">
        <f t="shared" si="39"/>
        <v>69703.000000000073</v>
      </c>
      <c r="AI88" s="65">
        <f t="shared" si="40"/>
        <v>70000.000000000073</v>
      </c>
      <c r="AJ88" s="65">
        <f t="shared" si="41"/>
        <v>60797.570928196146</v>
      </c>
      <c r="AK88" s="65">
        <f t="shared" si="42"/>
        <v>60797.570928196219</v>
      </c>
      <c r="AL88" s="89">
        <f t="shared" si="69"/>
        <v>0.99999999999999878</v>
      </c>
      <c r="AM88" s="62">
        <f t="shared" si="43"/>
        <v>70000</v>
      </c>
      <c r="AN88" s="62">
        <f t="shared" si="44"/>
        <v>69703</v>
      </c>
      <c r="AO88" s="95">
        <f t="shared" si="45"/>
        <v>77.777777777777771</v>
      </c>
      <c r="AP88" s="95">
        <f t="shared" si="46"/>
        <v>77.777777777777857</v>
      </c>
      <c r="AQ88" s="95">
        <f t="shared" si="47"/>
        <v>10.224921190893172</v>
      </c>
      <c r="AR88" s="95">
        <f t="shared" si="48"/>
        <v>10.224921190893172</v>
      </c>
      <c r="AS88" s="95">
        <f t="shared" si="49"/>
        <v>67.552856586884602</v>
      </c>
      <c r="AT88" s="95">
        <f t="shared" si="50"/>
        <v>67.552856586884687</v>
      </c>
      <c r="AU88" s="95">
        <f t="shared" si="51"/>
        <v>13.389441469013008</v>
      </c>
      <c r="AV88" s="95">
        <f t="shared" si="52"/>
        <v>13.38944146901302</v>
      </c>
      <c r="AW88" s="95">
        <f t="shared" si="53"/>
        <v>1.7602197918523057</v>
      </c>
      <c r="AX88" s="95">
        <f t="shared" si="54"/>
        <v>1.7602197918523057</v>
      </c>
      <c r="AY88" s="95">
        <f t="shared" si="55"/>
        <v>11.629221677160702</v>
      </c>
      <c r="AZ88" s="95">
        <f t="shared" si="56"/>
        <v>11.629221677160714</v>
      </c>
      <c r="BA88" s="95">
        <f t="shared" si="57"/>
        <v>18.862840204796552</v>
      </c>
      <c r="BB88" s="95">
        <f t="shared" si="58"/>
        <v>18.782807868499077</v>
      </c>
      <c r="BC88" s="95">
        <f t="shared" si="59"/>
        <v>2.3997383648083681</v>
      </c>
      <c r="BD88" s="95">
        <f t="shared" si="60"/>
        <v>2.3997383648083681</v>
      </c>
      <c r="BE88" s="95">
        <f t="shared" si="61"/>
        <v>16.463101839988184</v>
      </c>
      <c r="BF88" s="95">
        <f t="shared" si="62"/>
        <v>16.383069503690709</v>
      </c>
      <c r="BG88" s="95">
        <f t="shared" si="63"/>
        <v>14.195903467856418</v>
      </c>
      <c r="BH88" s="95">
        <f t="shared" si="64"/>
        <v>14.135672277428528</v>
      </c>
      <c r="BI88" s="95">
        <f t="shared" si="65"/>
        <v>1.8060087349024243</v>
      </c>
      <c r="BJ88" s="95">
        <f t="shared" si="66"/>
        <v>1.8060087349024243</v>
      </c>
      <c r="BK88" s="95">
        <f t="shared" si="67"/>
        <v>12.389894732953994</v>
      </c>
      <c r="BL88" s="95">
        <f t="shared" si="68"/>
        <v>12.329663542526104</v>
      </c>
    </row>
    <row r="89" spans="1:66">
      <c r="D89" s="58">
        <v>70000</v>
      </c>
      <c r="E89" s="58">
        <v>5228</v>
      </c>
      <c r="F89" s="58">
        <v>4162</v>
      </c>
      <c r="G89" s="58">
        <v>1215</v>
      </c>
      <c r="H89" s="58">
        <v>1317</v>
      </c>
      <c r="I89" s="58">
        <v>1512</v>
      </c>
      <c r="J89" s="58">
        <v>1785</v>
      </c>
      <c r="K89" s="58">
        <v>3711</v>
      </c>
      <c r="L89" s="58">
        <v>1974</v>
      </c>
      <c r="M89" s="58">
        <v>1695</v>
      </c>
      <c r="N89" s="58">
        <v>1032</v>
      </c>
      <c r="O89" s="59">
        <v>0.4</v>
      </c>
      <c r="P89" s="58">
        <v>900</v>
      </c>
      <c r="Q89" s="60">
        <v>0.125</v>
      </c>
      <c r="R89" s="60">
        <v>0.1142</v>
      </c>
      <c r="S89" s="60">
        <v>0.02</v>
      </c>
      <c r="T89" s="61">
        <v>10</v>
      </c>
      <c r="U89" s="60">
        <v>0.27531131564699513</v>
      </c>
      <c r="V89" s="104">
        <f t="shared" si="27"/>
        <v>0.1142</v>
      </c>
      <c r="W89" s="84">
        <f t="shared" si="28"/>
        <v>0.21624219125420471</v>
      </c>
      <c r="X89" s="84">
        <f t="shared" si="29"/>
        <v>0.27531131564699513</v>
      </c>
      <c r="Y89" s="84">
        <f t="shared" si="30"/>
        <v>0.24252223120452709</v>
      </c>
      <c r="Z89" s="84">
        <f t="shared" si="31"/>
        <v>0.27405012126111561</v>
      </c>
      <c r="AA89" s="84">
        <f t="shared" si="32"/>
        <v>0.23240244835501148</v>
      </c>
      <c r="AB89" s="84">
        <f t="shared" si="33"/>
        <v>1.7357142857142856E-2</v>
      </c>
      <c r="AC89" s="89">
        <f t="shared" si="34"/>
        <v>0.87993920972644379</v>
      </c>
      <c r="AD89" s="89">
        <f t="shared" si="35"/>
        <v>0.64244186046511631</v>
      </c>
      <c r="AE89" s="62">
        <f t="shared" si="36"/>
        <v>8905.4290718038537</v>
      </c>
      <c r="AF89" s="105">
        <f t="shared" si="37"/>
        <v>0.37674438700974111</v>
      </c>
      <c r="AG89" s="64">
        <f t="shared" si="38"/>
        <v>60797.570928196219</v>
      </c>
      <c r="AH89" s="65">
        <f t="shared" si="39"/>
        <v>69703.000000000073</v>
      </c>
      <c r="AI89" s="65">
        <f t="shared" si="40"/>
        <v>70000.000000000073</v>
      </c>
      <c r="AJ89" s="65">
        <f t="shared" si="41"/>
        <v>60797.570928196146</v>
      </c>
      <c r="AK89" s="65">
        <f t="shared" si="42"/>
        <v>60797.570928196219</v>
      </c>
      <c r="AL89" s="89">
        <f t="shared" si="69"/>
        <v>0.99999999999999878</v>
      </c>
      <c r="AM89" s="62">
        <f t="shared" si="43"/>
        <v>70000</v>
      </c>
      <c r="AN89" s="62">
        <f t="shared" si="44"/>
        <v>69703</v>
      </c>
      <c r="AO89" s="95">
        <f t="shared" si="45"/>
        <v>77.777777777777771</v>
      </c>
      <c r="AP89" s="95">
        <f t="shared" si="46"/>
        <v>77.777777777777857</v>
      </c>
      <c r="AQ89" s="95">
        <f t="shared" si="47"/>
        <v>10.224921190893172</v>
      </c>
      <c r="AR89" s="95">
        <f t="shared" si="48"/>
        <v>10.224921190893172</v>
      </c>
      <c r="AS89" s="95">
        <f t="shared" si="49"/>
        <v>67.552856586884602</v>
      </c>
      <c r="AT89" s="95">
        <f t="shared" si="50"/>
        <v>67.552856586884687</v>
      </c>
      <c r="AU89" s="95">
        <f t="shared" si="51"/>
        <v>13.389441469013008</v>
      </c>
      <c r="AV89" s="95">
        <f t="shared" si="52"/>
        <v>13.38944146901302</v>
      </c>
      <c r="AW89" s="95">
        <f t="shared" si="53"/>
        <v>1.7602197918523057</v>
      </c>
      <c r="AX89" s="95">
        <f t="shared" si="54"/>
        <v>1.7602197918523057</v>
      </c>
      <c r="AY89" s="95">
        <f t="shared" si="55"/>
        <v>11.629221677160702</v>
      </c>
      <c r="AZ89" s="95">
        <f t="shared" si="56"/>
        <v>11.629221677160714</v>
      </c>
      <c r="BA89" s="95">
        <f t="shared" si="57"/>
        <v>18.862840204796552</v>
      </c>
      <c r="BB89" s="95">
        <f t="shared" si="58"/>
        <v>18.782807868499077</v>
      </c>
      <c r="BC89" s="95">
        <f t="shared" si="59"/>
        <v>2.3997383648083681</v>
      </c>
      <c r="BD89" s="95">
        <f t="shared" si="60"/>
        <v>2.3997383648083681</v>
      </c>
      <c r="BE89" s="95">
        <f t="shared" si="61"/>
        <v>16.463101839988184</v>
      </c>
      <c r="BF89" s="95">
        <f t="shared" si="62"/>
        <v>16.383069503690709</v>
      </c>
      <c r="BG89" s="95">
        <f t="shared" si="63"/>
        <v>14.195903467856418</v>
      </c>
      <c r="BH89" s="95">
        <f t="shared" si="64"/>
        <v>14.135672277428528</v>
      </c>
      <c r="BI89" s="95">
        <f t="shared" si="65"/>
        <v>1.8060087349024243</v>
      </c>
      <c r="BJ89" s="95">
        <f t="shared" si="66"/>
        <v>1.8060087349024243</v>
      </c>
      <c r="BK89" s="95">
        <f t="shared" si="67"/>
        <v>12.389894732953994</v>
      </c>
      <c r="BL89" s="95">
        <f t="shared" si="68"/>
        <v>12.329663542526104</v>
      </c>
    </row>
    <row r="90" spans="1:66">
      <c r="D90" s="58">
        <v>70000</v>
      </c>
      <c r="E90" s="58">
        <v>5228</v>
      </c>
      <c r="F90" s="58">
        <v>4162</v>
      </c>
      <c r="G90" s="58">
        <v>1215</v>
      </c>
      <c r="H90" s="58">
        <v>1317</v>
      </c>
      <c r="I90" s="58">
        <v>1512</v>
      </c>
      <c r="J90" s="58">
        <v>1785</v>
      </c>
      <c r="K90" s="58">
        <v>3711</v>
      </c>
      <c r="L90" s="58">
        <v>1974</v>
      </c>
      <c r="M90" s="58">
        <v>1695</v>
      </c>
      <c r="N90" s="58">
        <v>1032</v>
      </c>
      <c r="O90" s="59">
        <v>0.4</v>
      </c>
      <c r="P90" s="58">
        <v>900</v>
      </c>
      <c r="Q90" s="60">
        <v>0.125</v>
      </c>
      <c r="R90" s="60">
        <v>0.1142</v>
      </c>
      <c r="S90" s="60">
        <v>0.02</v>
      </c>
      <c r="T90" s="61">
        <v>10</v>
      </c>
      <c r="U90" s="60">
        <v>0.27531131564699513</v>
      </c>
      <c r="V90" s="104">
        <f t="shared" si="27"/>
        <v>0.1142</v>
      </c>
      <c r="W90" s="84">
        <f t="shared" si="28"/>
        <v>0.21624219125420471</v>
      </c>
      <c r="X90" s="84">
        <f t="shared" si="29"/>
        <v>0.27531131564699513</v>
      </c>
      <c r="Y90" s="84">
        <f t="shared" si="30"/>
        <v>0.24252223120452709</v>
      </c>
      <c r="Z90" s="84">
        <f t="shared" si="31"/>
        <v>0.27405012126111561</v>
      </c>
      <c r="AA90" s="84">
        <f t="shared" si="32"/>
        <v>0.23240244835501148</v>
      </c>
      <c r="AB90" s="84">
        <f t="shared" si="33"/>
        <v>1.7357142857142856E-2</v>
      </c>
      <c r="AC90" s="89">
        <f t="shared" si="34"/>
        <v>0.87993920972644379</v>
      </c>
      <c r="AD90" s="89">
        <f t="shared" si="35"/>
        <v>0.64244186046511631</v>
      </c>
      <c r="AE90" s="62">
        <f t="shared" si="36"/>
        <v>8905.4290718038537</v>
      </c>
      <c r="AF90" s="105">
        <f t="shared" si="37"/>
        <v>0.37674438700974111</v>
      </c>
      <c r="AG90" s="64">
        <f t="shared" si="38"/>
        <v>60797.570928196219</v>
      </c>
      <c r="AH90" s="65">
        <f t="shared" si="39"/>
        <v>69703.000000000073</v>
      </c>
      <c r="AI90" s="65">
        <f t="shared" si="40"/>
        <v>70000.000000000073</v>
      </c>
      <c r="AJ90" s="65">
        <f t="shared" si="41"/>
        <v>60797.570928196146</v>
      </c>
      <c r="AK90" s="65">
        <f t="shared" si="42"/>
        <v>60797.570928196219</v>
      </c>
      <c r="AL90" s="89">
        <f t="shared" si="69"/>
        <v>0.99999999999999878</v>
      </c>
      <c r="AM90" s="62">
        <f t="shared" si="43"/>
        <v>70000</v>
      </c>
      <c r="AN90" s="62">
        <f t="shared" si="44"/>
        <v>69703</v>
      </c>
      <c r="AO90" s="95">
        <f t="shared" si="45"/>
        <v>77.777777777777771</v>
      </c>
      <c r="AP90" s="95">
        <f t="shared" si="46"/>
        <v>77.777777777777857</v>
      </c>
      <c r="AQ90" s="95">
        <f t="shared" si="47"/>
        <v>10.224921190893172</v>
      </c>
      <c r="AR90" s="95">
        <f t="shared" si="48"/>
        <v>10.224921190893172</v>
      </c>
      <c r="AS90" s="95">
        <f t="shared" si="49"/>
        <v>67.552856586884602</v>
      </c>
      <c r="AT90" s="95">
        <f t="shared" si="50"/>
        <v>67.552856586884687</v>
      </c>
      <c r="AU90" s="95">
        <f t="shared" si="51"/>
        <v>13.389441469013008</v>
      </c>
      <c r="AV90" s="95">
        <f t="shared" si="52"/>
        <v>13.38944146901302</v>
      </c>
      <c r="AW90" s="95">
        <f t="shared" si="53"/>
        <v>1.7602197918523057</v>
      </c>
      <c r="AX90" s="95">
        <f t="shared" si="54"/>
        <v>1.7602197918523057</v>
      </c>
      <c r="AY90" s="95">
        <f t="shared" si="55"/>
        <v>11.629221677160702</v>
      </c>
      <c r="AZ90" s="95">
        <f t="shared" si="56"/>
        <v>11.629221677160714</v>
      </c>
      <c r="BA90" s="95">
        <f t="shared" si="57"/>
        <v>18.862840204796552</v>
      </c>
      <c r="BB90" s="95">
        <f t="shared" si="58"/>
        <v>18.782807868499077</v>
      </c>
      <c r="BC90" s="95">
        <f t="shared" si="59"/>
        <v>2.3997383648083681</v>
      </c>
      <c r="BD90" s="95">
        <f t="shared" si="60"/>
        <v>2.3997383648083681</v>
      </c>
      <c r="BE90" s="95">
        <f t="shared" si="61"/>
        <v>16.463101839988184</v>
      </c>
      <c r="BF90" s="95">
        <f t="shared" si="62"/>
        <v>16.383069503690709</v>
      </c>
      <c r="BG90" s="95">
        <f t="shared" si="63"/>
        <v>14.195903467856418</v>
      </c>
      <c r="BH90" s="95">
        <f t="shared" si="64"/>
        <v>14.135672277428528</v>
      </c>
      <c r="BI90" s="95">
        <f t="shared" si="65"/>
        <v>1.8060087349024243</v>
      </c>
      <c r="BJ90" s="95">
        <f t="shared" si="66"/>
        <v>1.8060087349024243</v>
      </c>
      <c r="BK90" s="95">
        <f t="shared" si="67"/>
        <v>12.389894732953994</v>
      </c>
      <c r="BL90" s="95">
        <f t="shared" si="68"/>
        <v>12.329663542526104</v>
      </c>
    </row>
    <row r="91" spans="1:66">
      <c r="D91" s="58">
        <v>70000</v>
      </c>
      <c r="E91" s="58">
        <v>5228</v>
      </c>
      <c r="F91" s="58">
        <v>4162</v>
      </c>
      <c r="G91" s="58">
        <v>1215</v>
      </c>
      <c r="H91" s="58">
        <v>1317</v>
      </c>
      <c r="I91" s="58">
        <v>1512</v>
      </c>
      <c r="J91" s="58">
        <v>1785</v>
      </c>
      <c r="K91" s="58">
        <v>3711</v>
      </c>
      <c r="L91" s="58">
        <v>1974</v>
      </c>
      <c r="M91" s="58">
        <v>1695</v>
      </c>
      <c r="N91" s="58">
        <v>1032</v>
      </c>
      <c r="O91" s="59">
        <v>0.4</v>
      </c>
      <c r="P91" s="58">
        <v>900</v>
      </c>
      <c r="Q91" s="60">
        <v>0.125</v>
      </c>
      <c r="R91" s="60">
        <v>0.1142</v>
      </c>
      <c r="S91" s="60">
        <v>0.02</v>
      </c>
      <c r="T91" s="61">
        <v>10</v>
      </c>
      <c r="U91" s="60">
        <v>0.27531131564699513</v>
      </c>
      <c r="V91" s="104">
        <f t="shared" si="27"/>
        <v>0.1142</v>
      </c>
      <c r="W91" s="84">
        <f t="shared" si="28"/>
        <v>0.21624219125420471</v>
      </c>
      <c r="X91" s="84">
        <f t="shared" si="29"/>
        <v>0.27531131564699513</v>
      </c>
      <c r="Y91" s="84">
        <f t="shared" si="30"/>
        <v>0.24252223120452709</v>
      </c>
      <c r="Z91" s="84">
        <f t="shared" si="31"/>
        <v>0.27405012126111561</v>
      </c>
      <c r="AA91" s="84">
        <f t="shared" si="32"/>
        <v>0.23240244835501148</v>
      </c>
      <c r="AB91" s="84">
        <f t="shared" si="33"/>
        <v>1.7357142857142856E-2</v>
      </c>
      <c r="AC91" s="89">
        <f t="shared" si="34"/>
        <v>0.87993920972644379</v>
      </c>
      <c r="AD91" s="89">
        <f t="shared" si="35"/>
        <v>0.64244186046511631</v>
      </c>
      <c r="AE91" s="62">
        <f t="shared" si="36"/>
        <v>8905.4290718038537</v>
      </c>
      <c r="AF91" s="105">
        <f t="shared" si="37"/>
        <v>0.37674438700974111</v>
      </c>
      <c r="AG91" s="64">
        <f t="shared" si="38"/>
        <v>60797.570928196219</v>
      </c>
      <c r="AH91" s="65">
        <f t="shared" si="39"/>
        <v>69703.000000000073</v>
      </c>
      <c r="AI91" s="65">
        <f t="shared" si="40"/>
        <v>70000.000000000073</v>
      </c>
      <c r="AJ91" s="65">
        <f t="shared" si="41"/>
        <v>60797.570928196146</v>
      </c>
      <c r="AK91" s="65">
        <f t="shared" si="42"/>
        <v>60797.570928196219</v>
      </c>
      <c r="AL91" s="89">
        <f t="shared" si="69"/>
        <v>0.99999999999999878</v>
      </c>
      <c r="AM91" s="62">
        <f t="shared" si="43"/>
        <v>70000</v>
      </c>
      <c r="AN91" s="62">
        <f t="shared" si="44"/>
        <v>69703</v>
      </c>
      <c r="AO91" s="95">
        <f t="shared" si="45"/>
        <v>77.777777777777771</v>
      </c>
      <c r="AP91" s="95">
        <f t="shared" si="46"/>
        <v>77.777777777777857</v>
      </c>
      <c r="AQ91" s="95">
        <f t="shared" si="47"/>
        <v>10.224921190893172</v>
      </c>
      <c r="AR91" s="95">
        <f t="shared" si="48"/>
        <v>10.224921190893172</v>
      </c>
      <c r="AS91" s="95">
        <f t="shared" si="49"/>
        <v>67.552856586884602</v>
      </c>
      <c r="AT91" s="95">
        <f t="shared" si="50"/>
        <v>67.552856586884687</v>
      </c>
      <c r="AU91" s="95">
        <f t="shared" si="51"/>
        <v>13.389441469013008</v>
      </c>
      <c r="AV91" s="95">
        <f t="shared" si="52"/>
        <v>13.38944146901302</v>
      </c>
      <c r="AW91" s="95">
        <f t="shared" si="53"/>
        <v>1.7602197918523057</v>
      </c>
      <c r="AX91" s="95">
        <f t="shared" si="54"/>
        <v>1.7602197918523057</v>
      </c>
      <c r="AY91" s="95">
        <f t="shared" si="55"/>
        <v>11.629221677160702</v>
      </c>
      <c r="AZ91" s="95">
        <f t="shared" si="56"/>
        <v>11.629221677160714</v>
      </c>
      <c r="BA91" s="95">
        <f t="shared" si="57"/>
        <v>18.862840204796552</v>
      </c>
      <c r="BB91" s="95">
        <f t="shared" si="58"/>
        <v>18.782807868499077</v>
      </c>
      <c r="BC91" s="95">
        <f t="shared" si="59"/>
        <v>2.3997383648083681</v>
      </c>
      <c r="BD91" s="95">
        <f t="shared" si="60"/>
        <v>2.3997383648083681</v>
      </c>
      <c r="BE91" s="95">
        <f t="shared" si="61"/>
        <v>16.463101839988184</v>
      </c>
      <c r="BF91" s="95">
        <f t="shared" si="62"/>
        <v>16.383069503690709</v>
      </c>
      <c r="BG91" s="95">
        <f t="shared" si="63"/>
        <v>14.195903467856418</v>
      </c>
      <c r="BH91" s="95">
        <f t="shared" si="64"/>
        <v>14.135672277428528</v>
      </c>
      <c r="BI91" s="95">
        <f t="shared" si="65"/>
        <v>1.8060087349024243</v>
      </c>
      <c r="BJ91" s="95">
        <f t="shared" si="66"/>
        <v>1.8060087349024243</v>
      </c>
      <c r="BK91" s="95">
        <f t="shared" si="67"/>
        <v>12.389894732953994</v>
      </c>
      <c r="BL91" s="95">
        <f t="shared" si="68"/>
        <v>12.329663542526104</v>
      </c>
    </row>
    <row r="92" spans="1:66">
      <c r="D92" s="58">
        <v>70000</v>
      </c>
      <c r="E92" s="58">
        <v>5228</v>
      </c>
      <c r="F92" s="58">
        <v>4162</v>
      </c>
      <c r="G92" s="58">
        <v>1215</v>
      </c>
      <c r="H92" s="58">
        <v>1317</v>
      </c>
      <c r="I92" s="58">
        <v>1512</v>
      </c>
      <c r="J92" s="58">
        <v>1785</v>
      </c>
      <c r="K92" s="58">
        <v>3711</v>
      </c>
      <c r="L92" s="58">
        <v>1974</v>
      </c>
      <c r="M92" s="58">
        <v>1695</v>
      </c>
      <c r="N92" s="58">
        <v>1032</v>
      </c>
      <c r="O92" s="59">
        <v>0.4</v>
      </c>
      <c r="P92" s="58">
        <v>900</v>
      </c>
      <c r="Q92" s="60">
        <v>0.125</v>
      </c>
      <c r="R92" s="60">
        <v>0.1142</v>
      </c>
      <c r="S92" s="60">
        <v>0.02</v>
      </c>
      <c r="T92" s="61">
        <v>10</v>
      </c>
      <c r="U92" s="60">
        <v>0.27531131564699513</v>
      </c>
      <c r="V92" s="104">
        <f t="shared" si="27"/>
        <v>0.1142</v>
      </c>
      <c r="W92" s="84">
        <f t="shared" si="28"/>
        <v>0.21624219125420471</v>
      </c>
      <c r="X92" s="84">
        <f t="shared" si="29"/>
        <v>0.27531131564699513</v>
      </c>
      <c r="Y92" s="84">
        <f t="shared" si="30"/>
        <v>0.24252223120452709</v>
      </c>
      <c r="Z92" s="84">
        <f t="shared" si="31"/>
        <v>0.27405012126111561</v>
      </c>
      <c r="AA92" s="84">
        <f t="shared" si="32"/>
        <v>0.23240244835501148</v>
      </c>
      <c r="AB92" s="84">
        <f t="shared" si="33"/>
        <v>1.7357142857142856E-2</v>
      </c>
      <c r="AC92" s="89">
        <f t="shared" si="34"/>
        <v>0.87993920972644379</v>
      </c>
      <c r="AD92" s="89">
        <f t="shared" si="35"/>
        <v>0.64244186046511631</v>
      </c>
      <c r="AE92" s="62">
        <f t="shared" si="36"/>
        <v>8905.4290718038537</v>
      </c>
      <c r="AF92" s="105">
        <f t="shared" si="37"/>
        <v>0.37674438700974111</v>
      </c>
      <c r="AG92" s="64">
        <f t="shared" si="38"/>
        <v>60797.570928196219</v>
      </c>
      <c r="AH92" s="65">
        <f t="shared" si="39"/>
        <v>69703.000000000073</v>
      </c>
      <c r="AI92" s="65">
        <f t="shared" si="40"/>
        <v>70000.000000000073</v>
      </c>
      <c r="AJ92" s="65">
        <f t="shared" si="41"/>
        <v>60797.570928196146</v>
      </c>
      <c r="AK92" s="65">
        <f t="shared" si="42"/>
        <v>60797.570928196219</v>
      </c>
      <c r="AL92" s="89">
        <f t="shared" si="69"/>
        <v>0.99999999999999878</v>
      </c>
      <c r="AM92" s="62">
        <f t="shared" si="43"/>
        <v>70000</v>
      </c>
      <c r="AN92" s="62">
        <f t="shared" si="44"/>
        <v>69703</v>
      </c>
      <c r="AO92" s="95">
        <f t="shared" si="45"/>
        <v>77.777777777777771</v>
      </c>
      <c r="AP92" s="95">
        <f t="shared" si="46"/>
        <v>77.777777777777857</v>
      </c>
      <c r="AQ92" s="95">
        <f t="shared" si="47"/>
        <v>10.224921190893172</v>
      </c>
      <c r="AR92" s="95">
        <f t="shared" si="48"/>
        <v>10.224921190893172</v>
      </c>
      <c r="AS92" s="95">
        <f t="shared" si="49"/>
        <v>67.552856586884602</v>
      </c>
      <c r="AT92" s="95">
        <f t="shared" si="50"/>
        <v>67.552856586884687</v>
      </c>
      <c r="AU92" s="95">
        <f t="shared" si="51"/>
        <v>13.389441469013008</v>
      </c>
      <c r="AV92" s="95">
        <f t="shared" si="52"/>
        <v>13.38944146901302</v>
      </c>
      <c r="AW92" s="95">
        <f t="shared" si="53"/>
        <v>1.7602197918523057</v>
      </c>
      <c r="AX92" s="95">
        <f t="shared" si="54"/>
        <v>1.7602197918523057</v>
      </c>
      <c r="AY92" s="95">
        <f t="shared" si="55"/>
        <v>11.629221677160702</v>
      </c>
      <c r="AZ92" s="95">
        <f t="shared" si="56"/>
        <v>11.629221677160714</v>
      </c>
      <c r="BA92" s="95">
        <f t="shared" si="57"/>
        <v>18.862840204796552</v>
      </c>
      <c r="BB92" s="95">
        <f t="shared" si="58"/>
        <v>18.782807868499077</v>
      </c>
      <c r="BC92" s="95">
        <f t="shared" si="59"/>
        <v>2.3997383648083681</v>
      </c>
      <c r="BD92" s="95">
        <f t="shared" si="60"/>
        <v>2.3997383648083681</v>
      </c>
      <c r="BE92" s="95">
        <f t="shared" si="61"/>
        <v>16.463101839988184</v>
      </c>
      <c r="BF92" s="95">
        <f t="shared" si="62"/>
        <v>16.383069503690709</v>
      </c>
      <c r="BG92" s="95">
        <f t="shared" si="63"/>
        <v>14.195903467856418</v>
      </c>
      <c r="BH92" s="95">
        <f t="shared" si="64"/>
        <v>14.135672277428528</v>
      </c>
      <c r="BI92" s="95">
        <f t="shared" si="65"/>
        <v>1.8060087349024243</v>
      </c>
      <c r="BJ92" s="95">
        <f t="shared" si="66"/>
        <v>1.8060087349024243</v>
      </c>
      <c r="BK92" s="95">
        <f t="shared" si="67"/>
        <v>12.389894732953994</v>
      </c>
      <c r="BL92" s="95">
        <f t="shared" si="68"/>
        <v>12.329663542526104</v>
      </c>
    </row>
    <row r="94" spans="1:66">
      <c r="B94" s="103"/>
      <c r="C94" s="103"/>
      <c r="D94" s="57" t="str">
        <f t="array" aca="1" ref="D94:BL103" ca="1">IF($B$80=FALSE,"-",STEP8_HOW_MUCH_IS_GROWTH_FUNC(OFFSET($D$83,1,0,$B$81,1),OFFSET($E$83,1,0,$B$81,1),OFFSET($F$83,1,0,$B$81,1),OFFSET($G$83,1,0,$B$81,1),OFFSET($H$83,1,0,$B$81,1),OFFSET($I$83,1,0,$B$81,1),OFFSET($J$83,1,0,$B$81,1),OFFSET($K$83,1,0,$B$81,1),OFFSET($L$83,1,0,$B$81,1),OFFSET($M$83,1,0,$B$81,1),OFFSET($N$83,1,0,$B$81,1),OFFSET($O$83,1,0,$B$81,1),OFFSET($P$83,1,0,$B$81,1),OFFSET($Q$83,1,0,$B$81,1),OFFSET($R$83,1,0,$B$81,1),OFFSET($S$83,1,0,$B$81,1),OFFSET($T$83,1,0,$B$81,1),OFFSET($U$83,1,0,$B$81,1),IF($B$82=TRUE,,OFFSET($V$83,1,0,$B$81,1))))</f>
        <v>-</v>
      </c>
      <c r="E94" s="57" t="str">
        <f ca="1"/>
        <v>-</v>
      </c>
      <c r="F94" s="57" t="str">
        <f ca="1"/>
        <v>-</v>
      </c>
      <c r="G94" s="57" t="str">
        <f ca="1"/>
        <v>-</v>
      </c>
      <c r="H94" s="57" t="str">
        <f ca="1"/>
        <v>-</v>
      </c>
      <c r="I94" s="57" t="str">
        <f ca="1"/>
        <v>-</v>
      </c>
      <c r="J94" s="57" t="str">
        <f ca="1"/>
        <v>-</v>
      </c>
      <c r="K94" s="57" t="str">
        <f ca="1"/>
        <v>-</v>
      </c>
      <c r="L94" s="57" t="str">
        <f ca="1"/>
        <v>-</v>
      </c>
      <c r="M94" s="57" t="str">
        <f ca="1"/>
        <v>-</v>
      </c>
      <c r="N94" s="57" t="str">
        <f ca="1"/>
        <v>-</v>
      </c>
      <c r="O94" s="57" t="str">
        <f ca="1"/>
        <v>-</v>
      </c>
      <c r="P94" s="57" t="str">
        <f ca="1"/>
        <v>-</v>
      </c>
      <c r="Q94" s="57" t="str">
        <f ca="1"/>
        <v>-</v>
      </c>
      <c r="R94" s="57" t="str">
        <f ca="1"/>
        <v>-</v>
      </c>
      <c r="S94" s="57" t="str">
        <f ca="1"/>
        <v>-</v>
      </c>
      <c r="T94" s="57" t="str">
        <f ca="1"/>
        <v>-</v>
      </c>
      <c r="U94" s="57" t="str">
        <f ca="1"/>
        <v>-</v>
      </c>
      <c r="V94" s="57" t="str">
        <f ca="1"/>
        <v>-</v>
      </c>
      <c r="W94" s="57" t="str">
        <f ca="1"/>
        <v>-</v>
      </c>
      <c r="X94" s="57" t="str">
        <f ca="1"/>
        <v>-</v>
      </c>
      <c r="Y94" s="57" t="str">
        <f ca="1"/>
        <v>-</v>
      </c>
      <c r="Z94" s="57" t="str">
        <f ca="1"/>
        <v>-</v>
      </c>
      <c r="AA94" s="57" t="str">
        <f ca="1"/>
        <v>-</v>
      </c>
      <c r="AB94" s="57" t="str">
        <f ca="1"/>
        <v>-</v>
      </c>
      <c r="AC94" s="57" t="str">
        <f ca="1"/>
        <v>-</v>
      </c>
      <c r="AD94" s="57" t="str">
        <f ca="1"/>
        <v>-</v>
      </c>
      <c r="AE94" s="57" t="str">
        <f ca="1"/>
        <v>-</v>
      </c>
      <c r="AF94" s="57" t="str">
        <f ca="1"/>
        <v>-</v>
      </c>
      <c r="AG94" s="57" t="str">
        <f ca="1"/>
        <v>-</v>
      </c>
      <c r="AH94" s="57" t="str">
        <f ca="1"/>
        <v>-</v>
      </c>
      <c r="AI94" s="57" t="str">
        <f ca="1"/>
        <v>-</v>
      </c>
      <c r="AJ94" s="57" t="str">
        <f ca="1"/>
        <v>-</v>
      </c>
      <c r="AK94" s="57" t="str">
        <f ca="1"/>
        <v>-</v>
      </c>
      <c r="AL94" s="57" t="str">
        <f ca="1"/>
        <v>-</v>
      </c>
      <c r="AM94" s="57" t="str">
        <f ca="1"/>
        <v>-</v>
      </c>
      <c r="AN94" s="57" t="str">
        <f ca="1"/>
        <v>-</v>
      </c>
      <c r="AO94" s="57" t="str">
        <f ca="1"/>
        <v>-</v>
      </c>
      <c r="AP94" s="57" t="str">
        <f ca="1"/>
        <v>-</v>
      </c>
      <c r="AQ94" s="57" t="str">
        <f ca="1"/>
        <v>-</v>
      </c>
      <c r="AR94" s="57" t="str">
        <f ca="1"/>
        <v>-</v>
      </c>
      <c r="AS94" s="57" t="str">
        <f ca="1"/>
        <v>-</v>
      </c>
      <c r="AT94" s="57" t="str">
        <f ca="1"/>
        <v>-</v>
      </c>
      <c r="AU94" s="57" t="str">
        <f ca="1"/>
        <v>-</v>
      </c>
      <c r="AV94" s="57" t="str">
        <f ca="1"/>
        <v>-</v>
      </c>
      <c r="AW94" s="57" t="str">
        <f ca="1"/>
        <v>-</v>
      </c>
      <c r="AX94" s="57" t="str">
        <f ca="1"/>
        <v>-</v>
      </c>
      <c r="AY94" s="57" t="str">
        <f ca="1"/>
        <v>-</v>
      </c>
      <c r="AZ94" s="57" t="str">
        <f ca="1"/>
        <v>-</v>
      </c>
      <c r="BA94" s="57" t="str">
        <f ca="1"/>
        <v>-</v>
      </c>
      <c r="BB94" s="57" t="str">
        <f ca="1"/>
        <v>-</v>
      </c>
      <c r="BC94" s="57" t="str">
        <f ca="1"/>
        <v>-</v>
      </c>
      <c r="BD94" s="57" t="str">
        <f ca="1"/>
        <v>-</v>
      </c>
      <c r="BE94" s="57" t="str">
        <f ca="1"/>
        <v>-</v>
      </c>
      <c r="BF94" s="57" t="str">
        <f ca="1"/>
        <v>-</v>
      </c>
      <c r="BG94" s="57" t="str">
        <f ca="1"/>
        <v>-</v>
      </c>
      <c r="BH94" s="57" t="str">
        <f ca="1"/>
        <v>-</v>
      </c>
      <c r="BI94" s="57" t="str">
        <f ca="1"/>
        <v>-</v>
      </c>
      <c r="BJ94" s="57" t="str">
        <f ca="1"/>
        <v>-</v>
      </c>
      <c r="BK94" s="57" t="str">
        <f ca="1"/>
        <v>-</v>
      </c>
      <c r="BL94" s="57" t="str">
        <f ca="1"/>
        <v>-</v>
      </c>
    </row>
    <row r="95" spans="1:66">
      <c r="D95" s="72" t="str">
        <f ca="1"/>
        <v>-</v>
      </c>
      <c r="E95" s="72" t="str">
        <f ca="1"/>
        <v>-</v>
      </c>
      <c r="F95" s="72" t="str">
        <f ca="1"/>
        <v>-</v>
      </c>
      <c r="G95" s="72" t="str">
        <f ca="1"/>
        <v>-</v>
      </c>
      <c r="H95" s="72" t="str">
        <f ca="1"/>
        <v>-</v>
      </c>
      <c r="I95" s="72" t="str">
        <f ca="1"/>
        <v>-</v>
      </c>
      <c r="J95" s="72" t="str">
        <f ca="1"/>
        <v>-</v>
      </c>
      <c r="K95" s="72" t="str">
        <f ca="1"/>
        <v>-</v>
      </c>
      <c r="L95" s="72" t="str">
        <f ca="1"/>
        <v>-</v>
      </c>
      <c r="M95" s="72" t="str">
        <f ca="1"/>
        <v>-</v>
      </c>
      <c r="N95" s="72" t="str">
        <f ca="1"/>
        <v>-</v>
      </c>
      <c r="O95" s="73" t="str">
        <f ca="1"/>
        <v>-</v>
      </c>
      <c r="P95" s="72" t="str">
        <f ca="1"/>
        <v>-</v>
      </c>
      <c r="Q95" s="106" t="str">
        <f ca="1"/>
        <v>-</v>
      </c>
      <c r="R95" s="106" t="str">
        <f ca="1"/>
        <v>-</v>
      </c>
      <c r="S95" s="106" t="str">
        <f ca="1"/>
        <v>-</v>
      </c>
      <c r="T95" s="17" t="str">
        <f ca="1"/>
        <v>-</v>
      </c>
      <c r="U95" s="106" t="str">
        <f ca="1"/>
        <v>-</v>
      </c>
      <c r="V95" s="107" t="str">
        <f ca="1"/>
        <v>-</v>
      </c>
      <c r="W95" s="108" t="str">
        <f ca="1"/>
        <v>-</v>
      </c>
      <c r="X95" s="108" t="str">
        <f ca="1"/>
        <v>-</v>
      </c>
      <c r="Y95" s="108" t="str">
        <f ca="1"/>
        <v>-</v>
      </c>
      <c r="Z95" s="108" t="str">
        <f ca="1"/>
        <v>-</v>
      </c>
      <c r="AA95" s="108" t="str">
        <f ca="1"/>
        <v>-</v>
      </c>
      <c r="AB95" s="108" t="str">
        <f ca="1"/>
        <v>-</v>
      </c>
      <c r="AC95" s="109" t="str">
        <f ca="1"/>
        <v>-</v>
      </c>
      <c r="AD95" s="109" t="str">
        <f ca="1"/>
        <v>-</v>
      </c>
      <c r="AE95" s="62" t="str">
        <f ca="1"/>
        <v>-</v>
      </c>
      <c r="AF95" s="105" t="str">
        <f ca="1"/>
        <v>-</v>
      </c>
      <c r="AG95" s="62" t="str">
        <f ca="1"/>
        <v>-</v>
      </c>
      <c r="AH95" s="62" t="str">
        <f ca="1"/>
        <v>-</v>
      </c>
      <c r="AI95" s="62" t="str">
        <f ca="1"/>
        <v>-</v>
      </c>
      <c r="AJ95" s="62" t="str">
        <f ca="1"/>
        <v>-</v>
      </c>
      <c r="AK95" s="62" t="str">
        <f ca="1"/>
        <v>-</v>
      </c>
      <c r="AL95" s="109" t="str">
        <f ca="1"/>
        <v>-</v>
      </c>
      <c r="AM95" s="62" t="str">
        <f ca="1"/>
        <v>-</v>
      </c>
      <c r="AN95" s="62" t="str">
        <f ca="1"/>
        <v>-</v>
      </c>
      <c r="AO95" s="110" t="str">
        <f ca="1"/>
        <v>-</v>
      </c>
      <c r="AP95" s="110" t="str">
        <f ca="1"/>
        <v>-</v>
      </c>
      <c r="AQ95" s="110" t="str">
        <f ca="1"/>
        <v>-</v>
      </c>
      <c r="AR95" s="110" t="str">
        <f ca="1"/>
        <v>-</v>
      </c>
      <c r="AS95" s="110" t="str">
        <f ca="1"/>
        <v>-</v>
      </c>
      <c r="AT95" s="110" t="str">
        <f ca="1"/>
        <v>-</v>
      </c>
      <c r="AU95" s="110" t="str">
        <f ca="1"/>
        <v>-</v>
      </c>
      <c r="AV95" s="110" t="str">
        <f ca="1"/>
        <v>-</v>
      </c>
      <c r="AW95" s="110" t="str">
        <f ca="1"/>
        <v>-</v>
      </c>
      <c r="AX95" s="110" t="str">
        <f ca="1"/>
        <v>-</v>
      </c>
      <c r="AY95" s="110" t="str">
        <f ca="1"/>
        <v>-</v>
      </c>
      <c r="AZ95" s="110" t="str">
        <f ca="1"/>
        <v>-</v>
      </c>
      <c r="BA95" s="110" t="str">
        <f ca="1"/>
        <v>-</v>
      </c>
      <c r="BB95" s="110" t="str">
        <f ca="1"/>
        <v>-</v>
      </c>
      <c r="BC95" s="110" t="str">
        <f ca="1"/>
        <v>-</v>
      </c>
      <c r="BD95" s="110" t="str">
        <f ca="1"/>
        <v>-</v>
      </c>
      <c r="BE95" s="110" t="str">
        <f ca="1"/>
        <v>-</v>
      </c>
      <c r="BF95" s="110" t="str">
        <f ca="1"/>
        <v>-</v>
      </c>
      <c r="BG95" s="110" t="str">
        <f ca="1"/>
        <v>-</v>
      </c>
      <c r="BH95" s="110" t="str">
        <f ca="1"/>
        <v>-</v>
      </c>
      <c r="BI95" s="110" t="str">
        <f ca="1"/>
        <v>-</v>
      </c>
      <c r="BJ95" s="110" t="str">
        <f ca="1"/>
        <v>-</v>
      </c>
      <c r="BK95" s="110" t="str">
        <f ca="1"/>
        <v>-</v>
      </c>
      <c r="BL95" s="110" t="str">
        <f ca="1"/>
        <v>-</v>
      </c>
    </row>
    <row r="96" spans="1:66">
      <c r="D96" s="72" t="str">
        <f ca="1"/>
        <v>-</v>
      </c>
      <c r="E96" s="72" t="str">
        <f ca="1"/>
        <v>-</v>
      </c>
      <c r="F96" s="72" t="str">
        <f ca="1"/>
        <v>-</v>
      </c>
      <c r="G96" s="72" t="str">
        <f ca="1"/>
        <v>-</v>
      </c>
      <c r="H96" s="72" t="str">
        <f ca="1"/>
        <v>-</v>
      </c>
      <c r="I96" s="72" t="str">
        <f ca="1"/>
        <v>-</v>
      </c>
      <c r="J96" s="72" t="str">
        <f ca="1"/>
        <v>-</v>
      </c>
      <c r="K96" s="72" t="str">
        <f ca="1"/>
        <v>-</v>
      </c>
      <c r="L96" s="72" t="str">
        <f ca="1"/>
        <v>-</v>
      </c>
      <c r="M96" s="72" t="str">
        <f ca="1"/>
        <v>-</v>
      </c>
      <c r="N96" s="72" t="str">
        <f ca="1"/>
        <v>-</v>
      </c>
      <c r="O96" s="73" t="str">
        <f ca="1"/>
        <v>-</v>
      </c>
      <c r="P96" s="72" t="str">
        <f ca="1"/>
        <v>-</v>
      </c>
      <c r="Q96" s="106" t="str">
        <f ca="1"/>
        <v>-</v>
      </c>
      <c r="R96" s="106" t="str">
        <f ca="1"/>
        <v>-</v>
      </c>
      <c r="S96" s="106" t="str">
        <f ca="1"/>
        <v>-</v>
      </c>
      <c r="T96" s="17" t="str">
        <f ca="1"/>
        <v>-</v>
      </c>
      <c r="U96" s="106" t="str">
        <f ca="1"/>
        <v>-</v>
      </c>
      <c r="V96" s="107" t="str">
        <f ca="1"/>
        <v>-</v>
      </c>
      <c r="W96" s="108" t="str">
        <f ca="1"/>
        <v>-</v>
      </c>
      <c r="X96" s="108" t="str">
        <f ca="1"/>
        <v>-</v>
      </c>
      <c r="Y96" s="108" t="str">
        <f ca="1"/>
        <v>-</v>
      </c>
      <c r="Z96" s="108" t="str">
        <f ca="1"/>
        <v>-</v>
      </c>
      <c r="AA96" s="108" t="str">
        <f ca="1"/>
        <v>-</v>
      </c>
      <c r="AB96" s="108" t="str">
        <f ca="1"/>
        <v>-</v>
      </c>
      <c r="AC96" s="109" t="str">
        <f ca="1"/>
        <v>-</v>
      </c>
      <c r="AD96" s="109" t="str">
        <f ca="1"/>
        <v>-</v>
      </c>
      <c r="AE96" s="62" t="str">
        <f ca="1"/>
        <v>-</v>
      </c>
      <c r="AF96" s="105" t="str">
        <f ca="1"/>
        <v>-</v>
      </c>
      <c r="AG96" s="62" t="str">
        <f ca="1"/>
        <v>-</v>
      </c>
      <c r="AH96" s="62" t="str">
        <f ca="1"/>
        <v>-</v>
      </c>
      <c r="AI96" s="62" t="str">
        <f ca="1"/>
        <v>-</v>
      </c>
      <c r="AJ96" s="62" t="str">
        <f ca="1"/>
        <v>-</v>
      </c>
      <c r="AK96" s="62" t="str">
        <f ca="1"/>
        <v>-</v>
      </c>
      <c r="AL96" s="109" t="str">
        <f ca="1"/>
        <v>-</v>
      </c>
      <c r="AM96" s="62" t="str">
        <f ca="1"/>
        <v>-</v>
      </c>
      <c r="AN96" s="62" t="str">
        <f ca="1"/>
        <v>-</v>
      </c>
      <c r="AO96" s="110" t="str">
        <f ca="1"/>
        <v>-</v>
      </c>
      <c r="AP96" s="110" t="str">
        <f ca="1"/>
        <v>-</v>
      </c>
      <c r="AQ96" s="110" t="str">
        <f ca="1"/>
        <v>-</v>
      </c>
      <c r="AR96" s="110" t="str">
        <f ca="1"/>
        <v>-</v>
      </c>
      <c r="AS96" s="110" t="str">
        <f ca="1"/>
        <v>-</v>
      </c>
      <c r="AT96" s="110" t="str">
        <f ca="1"/>
        <v>-</v>
      </c>
      <c r="AU96" s="110" t="str">
        <f ca="1"/>
        <v>-</v>
      </c>
      <c r="AV96" s="110" t="str">
        <f ca="1"/>
        <v>-</v>
      </c>
      <c r="AW96" s="110" t="str">
        <f ca="1"/>
        <v>-</v>
      </c>
      <c r="AX96" s="110" t="str">
        <f ca="1"/>
        <v>-</v>
      </c>
      <c r="AY96" s="110" t="str">
        <f ca="1"/>
        <v>-</v>
      </c>
      <c r="AZ96" s="110" t="str">
        <f ca="1"/>
        <v>-</v>
      </c>
      <c r="BA96" s="110" t="str">
        <f ca="1"/>
        <v>-</v>
      </c>
      <c r="BB96" s="110" t="str">
        <f ca="1"/>
        <v>-</v>
      </c>
      <c r="BC96" s="110" t="str">
        <f ca="1"/>
        <v>-</v>
      </c>
      <c r="BD96" s="110" t="str">
        <f ca="1"/>
        <v>-</v>
      </c>
      <c r="BE96" s="110" t="str">
        <f ca="1"/>
        <v>-</v>
      </c>
      <c r="BF96" s="110" t="str">
        <f ca="1"/>
        <v>-</v>
      </c>
      <c r="BG96" s="110" t="str">
        <f ca="1"/>
        <v>-</v>
      </c>
      <c r="BH96" s="110" t="str">
        <f ca="1"/>
        <v>-</v>
      </c>
      <c r="BI96" s="110" t="str">
        <f ca="1"/>
        <v>-</v>
      </c>
      <c r="BJ96" s="110" t="str">
        <f ca="1"/>
        <v>-</v>
      </c>
      <c r="BK96" s="110" t="str">
        <f ca="1"/>
        <v>-</v>
      </c>
      <c r="BL96" s="110" t="str">
        <f ca="1"/>
        <v>-</v>
      </c>
    </row>
    <row r="97" spans="4:64">
      <c r="D97" s="72" t="str">
        <f ca="1"/>
        <v>-</v>
      </c>
      <c r="E97" s="72" t="str">
        <f ca="1"/>
        <v>-</v>
      </c>
      <c r="F97" s="72" t="str">
        <f ca="1"/>
        <v>-</v>
      </c>
      <c r="G97" s="72" t="str">
        <f ca="1"/>
        <v>-</v>
      </c>
      <c r="H97" s="72" t="str">
        <f ca="1"/>
        <v>-</v>
      </c>
      <c r="I97" s="72" t="str">
        <f ca="1"/>
        <v>-</v>
      </c>
      <c r="J97" s="72" t="str">
        <f ca="1"/>
        <v>-</v>
      </c>
      <c r="K97" s="72" t="str">
        <f ca="1"/>
        <v>-</v>
      </c>
      <c r="L97" s="72" t="str">
        <f ca="1"/>
        <v>-</v>
      </c>
      <c r="M97" s="72" t="str">
        <f ca="1"/>
        <v>-</v>
      </c>
      <c r="N97" s="72" t="str">
        <f ca="1"/>
        <v>-</v>
      </c>
      <c r="O97" s="73" t="str">
        <f ca="1"/>
        <v>-</v>
      </c>
      <c r="P97" s="72" t="str">
        <f ca="1"/>
        <v>-</v>
      </c>
      <c r="Q97" s="106" t="str">
        <f ca="1"/>
        <v>-</v>
      </c>
      <c r="R97" s="106" t="str">
        <f ca="1"/>
        <v>-</v>
      </c>
      <c r="S97" s="106" t="str">
        <f ca="1"/>
        <v>-</v>
      </c>
      <c r="T97" s="17" t="str">
        <f ca="1"/>
        <v>-</v>
      </c>
      <c r="U97" s="106" t="str">
        <f ca="1"/>
        <v>-</v>
      </c>
      <c r="V97" s="107" t="str">
        <f ca="1"/>
        <v>-</v>
      </c>
      <c r="W97" s="108" t="str">
        <f ca="1"/>
        <v>-</v>
      </c>
      <c r="X97" s="108" t="str">
        <f ca="1"/>
        <v>-</v>
      </c>
      <c r="Y97" s="108" t="str">
        <f ca="1"/>
        <v>-</v>
      </c>
      <c r="Z97" s="108" t="str">
        <f ca="1"/>
        <v>-</v>
      </c>
      <c r="AA97" s="108" t="str">
        <f ca="1"/>
        <v>-</v>
      </c>
      <c r="AB97" s="108" t="str">
        <f ca="1"/>
        <v>-</v>
      </c>
      <c r="AC97" s="109" t="str">
        <f ca="1"/>
        <v>-</v>
      </c>
      <c r="AD97" s="109" t="str">
        <f ca="1"/>
        <v>-</v>
      </c>
      <c r="AE97" s="62" t="str">
        <f ca="1"/>
        <v>-</v>
      </c>
      <c r="AF97" s="105" t="str">
        <f ca="1"/>
        <v>-</v>
      </c>
      <c r="AG97" s="62" t="str">
        <f ca="1"/>
        <v>-</v>
      </c>
      <c r="AH97" s="62" t="str">
        <f ca="1"/>
        <v>-</v>
      </c>
      <c r="AI97" s="62" t="str">
        <f ca="1"/>
        <v>-</v>
      </c>
      <c r="AJ97" s="62" t="str">
        <f ca="1"/>
        <v>-</v>
      </c>
      <c r="AK97" s="62" t="str">
        <f ca="1"/>
        <v>-</v>
      </c>
      <c r="AL97" s="109" t="str">
        <f ca="1"/>
        <v>-</v>
      </c>
      <c r="AM97" s="62" t="str">
        <f ca="1"/>
        <v>-</v>
      </c>
      <c r="AN97" s="62" t="str">
        <f ca="1"/>
        <v>-</v>
      </c>
      <c r="AO97" s="110" t="str">
        <f ca="1"/>
        <v>-</v>
      </c>
      <c r="AP97" s="110" t="str">
        <f ca="1"/>
        <v>-</v>
      </c>
      <c r="AQ97" s="110" t="str">
        <f ca="1"/>
        <v>-</v>
      </c>
      <c r="AR97" s="110" t="str">
        <f ca="1"/>
        <v>-</v>
      </c>
      <c r="AS97" s="110" t="str">
        <f ca="1"/>
        <v>-</v>
      </c>
      <c r="AT97" s="110" t="str">
        <f ca="1"/>
        <v>-</v>
      </c>
      <c r="AU97" s="110" t="str">
        <f ca="1"/>
        <v>-</v>
      </c>
      <c r="AV97" s="110" t="str">
        <f ca="1"/>
        <v>-</v>
      </c>
      <c r="AW97" s="110" t="str">
        <f ca="1"/>
        <v>-</v>
      </c>
      <c r="AX97" s="110" t="str">
        <f ca="1"/>
        <v>-</v>
      </c>
      <c r="AY97" s="110" t="str">
        <f ca="1"/>
        <v>-</v>
      </c>
      <c r="AZ97" s="110" t="str">
        <f ca="1"/>
        <v>-</v>
      </c>
      <c r="BA97" s="110" t="str">
        <f ca="1"/>
        <v>-</v>
      </c>
      <c r="BB97" s="110" t="str">
        <f ca="1"/>
        <v>-</v>
      </c>
      <c r="BC97" s="110" t="str">
        <f ca="1"/>
        <v>-</v>
      </c>
      <c r="BD97" s="110" t="str">
        <f ca="1"/>
        <v>-</v>
      </c>
      <c r="BE97" s="110" t="str">
        <f ca="1"/>
        <v>-</v>
      </c>
      <c r="BF97" s="110" t="str">
        <f ca="1"/>
        <v>-</v>
      </c>
      <c r="BG97" s="110" t="str">
        <f ca="1"/>
        <v>-</v>
      </c>
      <c r="BH97" s="110" t="str">
        <f ca="1"/>
        <v>-</v>
      </c>
      <c r="BI97" s="110" t="str">
        <f ca="1"/>
        <v>-</v>
      </c>
      <c r="BJ97" s="110" t="str">
        <f ca="1"/>
        <v>-</v>
      </c>
      <c r="BK97" s="110" t="str">
        <f ca="1"/>
        <v>-</v>
      </c>
      <c r="BL97" s="110" t="str">
        <f ca="1"/>
        <v>-</v>
      </c>
    </row>
    <row r="98" spans="4:64">
      <c r="D98" s="72" t="str">
        <f ca="1"/>
        <v>-</v>
      </c>
      <c r="E98" s="72" t="str">
        <f ca="1"/>
        <v>-</v>
      </c>
      <c r="F98" s="72" t="str">
        <f ca="1"/>
        <v>-</v>
      </c>
      <c r="G98" s="72" t="str">
        <f ca="1"/>
        <v>-</v>
      </c>
      <c r="H98" s="72" t="str">
        <f ca="1"/>
        <v>-</v>
      </c>
      <c r="I98" s="72" t="str">
        <f ca="1"/>
        <v>-</v>
      </c>
      <c r="J98" s="72" t="str">
        <f ca="1"/>
        <v>-</v>
      </c>
      <c r="K98" s="72" t="str">
        <f ca="1"/>
        <v>-</v>
      </c>
      <c r="L98" s="72" t="str">
        <f ca="1"/>
        <v>-</v>
      </c>
      <c r="M98" s="72" t="str">
        <f ca="1"/>
        <v>-</v>
      </c>
      <c r="N98" s="72" t="str">
        <f ca="1"/>
        <v>-</v>
      </c>
      <c r="O98" s="73" t="str">
        <f ca="1"/>
        <v>-</v>
      </c>
      <c r="P98" s="72" t="str">
        <f ca="1"/>
        <v>-</v>
      </c>
      <c r="Q98" s="106" t="str">
        <f ca="1"/>
        <v>-</v>
      </c>
      <c r="R98" s="106" t="str">
        <f ca="1"/>
        <v>-</v>
      </c>
      <c r="S98" s="106" t="str">
        <f ca="1"/>
        <v>-</v>
      </c>
      <c r="T98" s="17" t="str">
        <f ca="1"/>
        <v>-</v>
      </c>
      <c r="U98" s="106" t="str">
        <f ca="1"/>
        <v>-</v>
      </c>
      <c r="V98" s="107" t="str">
        <f ca="1"/>
        <v>-</v>
      </c>
      <c r="W98" s="108" t="str">
        <f ca="1"/>
        <v>-</v>
      </c>
      <c r="X98" s="108" t="str">
        <f ca="1"/>
        <v>-</v>
      </c>
      <c r="Y98" s="108" t="str">
        <f ca="1"/>
        <v>-</v>
      </c>
      <c r="Z98" s="108" t="str">
        <f ca="1"/>
        <v>-</v>
      </c>
      <c r="AA98" s="108" t="str">
        <f ca="1"/>
        <v>-</v>
      </c>
      <c r="AB98" s="108" t="str">
        <f ca="1"/>
        <v>-</v>
      </c>
      <c r="AC98" s="109" t="str">
        <f ca="1"/>
        <v>-</v>
      </c>
      <c r="AD98" s="109" t="str">
        <f ca="1"/>
        <v>-</v>
      </c>
      <c r="AE98" s="62" t="str">
        <f ca="1"/>
        <v>-</v>
      </c>
      <c r="AF98" s="105" t="str">
        <f ca="1"/>
        <v>-</v>
      </c>
      <c r="AG98" s="62" t="str">
        <f ca="1"/>
        <v>-</v>
      </c>
      <c r="AH98" s="62" t="str">
        <f ca="1"/>
        <v>-</v>
      </c>
      <c r="AI98" s="62" t="str">
        <f ca="1"/>
        <v>-</v>
      </c>
      <c r="AJ98" s="62" t="str">
        <f ca="1"/>
        <v>-</v>
      </c>
      <c r="AK98" s="62" t="str">
        <f ca="1"/>
        <v>-</v>
      </c>
      <c r="AL98" s="109" t="str">
        <f ca="1"/>
        <v>-</v>
      </c>
      <c r="AM98" s="62" t="str">
        <f ca="1"/>
        <v>-</v>
      </c>
      <c r="AN98" s="62" t="str">
        <f ca="1"/>
        <v>-</v>
      </c>
      <c r="AO98" s="110" t="str">
        <f ca="1"/>
        <v>-</v>
      </c>
      <c r="AP98" s="110" t="str">
        <f ca="1"/>
        <v>-</v>
      </c>
      <c r="AQ98" s="110" t="str">
        <f ca="1"/>
        <v>-</v>
      </c>
      <c r="AR98" s="110" t="str">
        <f ca="1"/>
        <v>-</v>
      </c>
      <c r="AS98" s="110" t="str">
        <f ca="1"/>
        <v>-</v>
      </c>
      <c r="AT98" s="110" t="str">
        <f ca="1"/>
        <v>-</v>
      </c>
      <c r="AU98" s="110" t="str">
        <f ca="1"/>
        <v>-</v>
      </c>
      <c r="AV98" s="110" t="str">
        <f ca="1"/>
        <v>-</v>
      </c>
      <c r="AW98" s="110" t="str">
        <f ca="1"/>
        <v>-</v>
      </c>
      <c r="AX98" s="110" t="str">
        <f ca="1"/>
        <v>-</v>
      </c>
      <c r="AY98" s="110" t="str">
        <f ca="1"/>
        <v>-</v>
      </c>
      <c r="AZ98" s="110" t="str">
        <f ca="1"/>
        <v>-</v>
      </c>
      <c r="BA98" s="110" t="str">
        <f ca="1"/>
        <v>-</v>
      </c>
      <c r="BB98" s="110" t="str">
        <f ca="1"/>
        <v>-</v>
      </c>
      <c r="BC98" s="110" t="str">
        <f ca="1"/>
        <v>-</v>
      </c>
      <c r="BD98" s="110" t="str">
        <f ca="1"/>
        <v>-</v>
      </c>
      <c r="BE98" s="110" t="str">
        <f ca="1"/>
        <v>-</v>
      </c>
      <c r="BF98" s="110" t="str">
        <f ca="1"/>
        <v>-</v>
      </c>
      <c r="BG98" s="110" t="str">
        <f ca="1"/>
        <v>-</v>
      </c>
      <c r="BH98" s="110" t="str">
        <f ca="1"/>
        <v>-</v>
      </c>
      <c r="BI98" s="110" t="str">
        <f ca="1"/>
        <v>-</v>
      </c>
      <c r="BJ98" s="110" t="str">
        <f ca="1"/>
        <v>-</v>
      </c>
      <c r="BK98" s="110" t="str">
        <f ca="1"/>
        <v>-</v>
      </c>
      <c r="BL98" s="110" t="str">
        <f ca="1"/>
        <v>-</v>
      </c>
    </row>
    <row r="99" spans="4:64">
      <c r="D99" s="72" t="str">
        <f ca="1"/>
        <v>-</v>
      </c>
      <c r="E99" s="72" t="str">
        <f ca="1"/>
        <v>-</v>
      </c>
      <c r="F99" s="72" t="str">
        <f ca="1"/>
        <v>-</v>
      </c>
      <c r="G99" s="72" t="str">
        <f ca="1"/>
        <v>-</v>
      </c>
      <c r="H99" s="72" t="str">
        <f ca="1"/>
        <v>-</v>
      </c>
      <c r="I99" s="72" t="str">
        <f ca="1"/>
        <v>-</v>
      </c>
      <c r="J99" s="72" t="str">
        <f ca="1"/>
        <v>-</v>
      </c>
      <c r="K99" s="72" t="str">
        <f ca="1"/>
        <v>-</v>
      </c>
      <c r="L99" s="72" t="str">
        <f ca="1"/>
        <v>-</v>
      </c>
      <c r="M99" s="72" t="str">
        <f ca="1"/>
        <v>-</v>
      </c>
      <c r="N99" s="72" t="str">
        <f ca="1"/>
        <v>-</v>
      </c>
      <c r="O99" s="73" t="str">
        <f ca="1"/>
        <v>-</v>
      </c>
      <c r="P99" s="72" t="str">
        <f ca="1"/>
        <v>-</v>
      </c>
      <c r="Q99" s="106" t="str">
        <f ca="1"/>
        <v>-</v>
      </c>
      <c r="R99" s="106" t="str">
        <f ca="1"/>
        <v>-</v>
      </c>
      <c r="S99" s="106" t="str">
        <f ca="1"/>
        <v>-</v>
      </c>
      <c r="T99" s="17" t="str">
        <f ca="1"/>
        <v>-</v>
      </c>
      <c r="U99" s="106" t="str">
        <f ca="1"/>
        <v>-</v>
      </c>
      <c r="V99" s="107" t="str">
        <f ca="1"/>
        <v>-</v>
      </c>
      <c r="W99" s="108" t="str">
        <f ca="1"/>
        <v>-</v>
      </c>
      <c r="X99" s="108" t="str">
        <f ca="1"/>
        <v>-</v>
      </c>
      <c r="Y99" s="108" t="str">
        <f ca="1"/>
        <v>-</v>
      </c>
      <c r="Z99" s="108" t="str">
        <f ca="1"/>
        <v>-</v>
      </c>
      <c r="AA99" s="108" t="str">
        <f ca="1"/>
        <v>-</v>
      </c>
      <c r="AB99" s="108" t="str">
        <f ca="1"/>
        <v>-</v>
      </c>
      <c r="AC99" s="109" t="str">
        <f ca="1"/>
        <v>-</v>
      </c>
      <c r="AD99" s="109" t="str">
        <f ca="1"/>
        <v>-</v>
      </c>
      <c r="AE99" s="62" t="str">
        <f ca="1"/>
        <v>-</v>
      </c>
      <c r="AF99" s="105" t="str">
        <f ca="1"/>
        <v>-</v>
      </c>
      <c r="AG99" s="62" t="str">
        <f ca="1"/>
        <v>-</v>
      </c>
      <c r="AH99" s="62" t="str">
        <f ca="1"/>
        <v>-</v>
      </c>
      <c r="AI99" s="62" t="str">
        <f ca="1"/>
        <v>-</v>
      </c>
      <c r="AJ99" s="62" t="str">
        <f ca="1"/>
        <v>-</v>
      </c>
      <c r="AK99" s="62" t="str">
        <f ca="1"/>
        <v>-</v>
      </c>
      <c r="AL99" s="109" t="str">
        <f ca="1"/>
        <v>-</v>
      </c>
      <c r="AM99" s="62" t="str">
        <f ca="1"/>
        <v>-</v>
      </c>
      <c r="AN99" s="62" t="str">
        <f ca="1"/>
        <v>-</v>
      </c>
      <c r="AO99" s="110" t="str">
        <f ca="1"/>
        <v>-</v>
      </c>
      <c r="AP99" s="110" t="str">
        <f ca="1"/>
        <v>-</v>
      </c>
      <c r="AQ99" s="110" t="str">
        <f ca="1"/>
        <v>-</v>
      </c>
      <c r="AR99" s="110" t="str">
        <f ca="1"/>
        <v>-</v>
      </c>
      <c r="AS99" s="110" t="str">
        <f ca="1"/>
        <v>-</v>
      </c>
      <c r="AT99" s="110" t="str">
        <f ca="1"/>
        <v>-</v>
      </c>
      <c r="AU99" s="110" t="str">
        <f ca="1"/>
        <v>-</v>
      </c>
      <c r="AV99" s="110" t="str">
        <f ca="1"/>
        <v>-</v>
      </c>
      <c r="AW99" s="110" t="str">
        <f ca="1"/>
        <v>-</v>
      </c>
      <c r="AX99" s="110" t="str">
        <f ca="1"/>
        <v>-</v>
      </c>
      <c r="AY99" s="110" t="str">
        <f ca="1"/>
        <v>-</v>
      </c>
      <c r="AZ99" s="110" t="str">
        <f ca="1"/>
        <v>-</v>
      </c>
      <c r="BA99" s="110" t="str">
        <f ca="1"/>
        <v>-</v>
      </c>
      <c r="BB99" s="110" t="str">
        <f ca="1"/>
        <v>-</v>
      </c>
      <c r="BC99" s="110" t="str">
        <f ca="1"/>
        <v>-</v>
      </c>
      <c r="BD99" s="110" t="str">
        <f ca="1"/>
        <v>-</v>
      </c>
      <c r="BE99" s="110" t="str">
        <f ca="1"/>
        <v>-</v>
      </c>
      <c r="BF99" s="110" t="str">
        <f ca="1"/>
        <v>-</v>
      </c>
      <c r="BG99" s="110" t="str">
        <f ca="1"/>
        <v>-</v>
      </c>
      <c r="BH99" s="110" t="str">
        <f ca="1"/>
        <v>-</v>
      </c>
      <c r="BI99" s="110" t="str">
        <f ca="1"/>
        <v>-</v>
      </c>
      <c r="BJ99" s="110" t="str">
        <f ca="1"/>
        <v>-</v>
      </c>
      <c r="BK99" s="110" t="str">
        <f ca="1"/>
        <v>-</v>
      </c>
      <c r="BL99" s="110" t="str">
        <f ca="1"/>
        <v>-</v>
      </c>
    </row>
    <row r="100" spans="4:64">
      <c r="D100" s="72" t="str">
        <f ca="1"/>
        <v>-</v>
      </c>
      <c r="E100" s="72" t="str">
        <f ca="1"/>
        <v>-</v>
      </c>
      <c r="F100" s="72" t="str">
        <f ca="1"/>
        <v>-</v>
      </c>
      <c r="G100" s="72" t="str">
        <f ca="1"/>
        <v>-</v>
      </c>
      <c r="H100" s="72" t="str">
        <f ca="1"/>
        <v>-</v>
      </c>
      <c r="I100" s="72" t="str">
        <f ca="1"/>
        <v>-</v>
      </c>
      <c r="J100" s="72" t="str">
        <f ca="1"/>
        <v>-</v>
      </c>
      <c r="K100" s="72" t="str">
        <f ca="1"/>
        <v>-</v>
      </c>
      <c r="L100" s="72" t="str">
        <f ca="1"/>
        <v>-</v>
      </c>
      <c r="M100" s="72" t="str">
        <f ca="1"/>
        <v>-</v>
      </c>
      <c r="N100" s="72" t="str">
        <f ca="1"/>
        <v>-</v>
      </c>
      <c r="O100" s="73" t="str">
        <f ca="1"/>
        <v>-</v>
      </c>
      <c r="P100" s="72" t="str">
        <f ca="1"/>
        <v>-</v>
      </c>
      <c r="Q100" s="106" t="str">
        <f ca="1"/>
        <v>-</v>
      </c>
      <c r="R100" s="106" t="str">
        <f ca="1"/>
        <v>-</v>
      </c>
      <c r="S100" s="106" t="str">
        <f ca="1"/>
        <v>-</v>
      </c>
      <c r="T100" s="17" t="str">
        <f ca="1"/>
        <v>-</v>
      </c>
      <c r="U100" s="106" t="str">
        <f ca="1"/>
        <v>-</v>
      </c>
      <c r="V100" s="107" t="str">
        <f ca="1"/>
        <v>-</v>
      </c>
      <c r="W100" s="108" t="str">
        <f ca="1"/>
        <v>-</v>
      </c>
      <c r="X100" s="108" t="str">
        <f ca="1"/>
        <v>-</v>
      </c>
      <c r="Y100" s="108" t="str">
        <f ca="1"/>
        <v>-</v>
      </c>
      <c r="Z100" s="108" t="str">
        <f ca="1"/>
        <v>-</v>
      </c>
      <c r="AA100" s="108" t="str">
        <f ca="1"/>
        <v>-</v>
      </c>
      <c r="AB100" s="108" t="str">
        <f ca="1"/>
        <v>-</v>
      </c>
      <c r="AC100" s="109" t="str">
        <f ca="1"/>
        <v>-</v>
      </c>
      <c r="AD100" s="109" t="str">
        <f ca="1"/>
        <v>-</v>
      </c>
      <c r="AE100" s="62" t="str">
        <f ca="1"/>
        <v>-</v>
      </c>
      <c r="AF100" s="105" t="str">
        <f ca="1"/>
        <v>-</v>
      </c>
      <c r="AG100" s="62" t="str">
        <f ca="1"/>
        <v>-</v>
      </c>
      <c r="AH100" s="62" t="str">
        <f ca="1"/>
        <v>-</v>
      </c>
      <c r="AI100" s="62" t="str">
        <f ca="1"/>
        <v>-</v>
      </c>
      <c r="AJ100" s="62" t="str">
        <f ca="1"/>
        <v>-</v>
      </c>
      <c r="AK100" s="62" t="str">
        <f ca="1"/>
        <v>-</v>
      </c>
      <c r="AL100" s="109" t="str">
        <f ca="1"/>
        <v>-</v>
      </c>
      <c r="AM100" s="62" t="str">
        <f ca="1"/>
        <v>-</v>
      </c>
      <c r="AN100" s="62" t="str">
        <f ca="1"/>
        <v>-</v>
      </c>
      <c r="AO100" s="110" t="str">
        <f ca="1"/>
        <v>-</v>
      </c>
      <c r="AP100" s="110" t="str">
        <f ca="1"/>
        <v>-</v>
      </c>
      <c r="AQ100" s="110" t="str">
        <f ca="1"/>
        <v>-</v>
      </c>
      <c r="AR100" s="110" t="str">
        <f ca="1"/>
        <v>-</v>
      </c>
      <c r="AS100" s="110" t="str">
        <f ca="1"/>
        <v>-</v>
      </c>
      <c r="AT100" s="110" t="str">
        <f ca="1"/>
        <v>-</v>
      </c>
      <c r="AU100" s="110" t="str">
        <f ca="1"/>
        <v>-</v>
      </c>
      <c r="AV100" s="110" t="str">
        <f ca="1"/>
        <v>-</v>
      </c>
      <c r="AW100" s="110" t="str">
        <f ca="1"/>
        <v>-</v>
      </c>
      <c r="AX100" s="110" t="str">
        <f ca="1"/>
        <v>-</v>
      </c>
      <c r="AY100" s="110" t="str">
        <f ca="1"/>
        <v>-</v>
      </c>
      <c r="AZ100" s="110" t="str">
        <f ca="1"/>
        <v>-</v>
      </c>
      <c r="BA100" s="110" t="str">
        <f ca="1"/>
        <v>-</v>
      </c>
      <c r="BB100" s="110" t="str">
        <f ca="1"/>
        <v>-</v>
      </c>
      <c r="BC100" s="110" t="str">
        <f ca="1"/>
        <v>-</v>
      </c>
      <c r="BD100" s="110" t="str">
        <f ca="1"/>
        <v>-</v>
      </c>
      <c r="BE100" s="110" t="str">
        <f ca="1"/>
        <v>-</v>
      </c>
      <c r="BF100" s="110" t="str">
        <f ca="1"/>
        <v>-</v>
      </c>
      <c r="BG100" s="110" t="str">
        <f ca="1"/>
        <v>-</v>
      </c>
      <c r="BH100" s="110" t="str">
        <f ca="1"/>
        <v>-</v>
      </c>
      <c r="BI100" s="110" t="str">
        <f ca="1"/>
        <v>-</v>
      </c>
      <c r="BJ100" s="110" t="str">
        <f ca="1"/>
        <v>-</v>
      </c>
      <c r="BK100" s="110" t="str">
        <f ca="1"/>
        <v>-</v>
      </c>
      <c r="BL100" s="110" t="str">
        <f ca="1"/>
        <v>-</v>
      </c>
    </row>
    <row r="101" spans="4:64">
      <c r="D101" s="72" t="str">
        <f ca="1"/>
        <v>-</v>
      </c>
      <c r="E101" s="72" t="str">
        <f ca="1"/>
        <v>-</v>
      </c>
      <c r="F101" s="72" t="str">
        <f ca="1"/>
        <v>-</v>
      </c>
      <c r="G101" s="72" t="str">
        <f ca="1"/>
        <v>-</v>
      </c>
      <c r="H101" s="72" t="str">
        <f ca="1"/>
        <v>-</v>
      </c>
      <c r="I101" s="72" t="str">
        <f ca="1"/>
        <v>-</v>
      </c>
      <c r="J101" s="72" t="str">
        <f ca="1"/>
        <v>-</v>
      </c>
      <c r="K101" s="72" t="str">
        <f ca="1"/>
        <v>-</v>
      </c>
      <c r="L101" s="72" t="str">
        <f ca="1"/>
        <v>-</v>
      </c>
      <c r="M101" s="72" t="str">
        <f ca="1"/>
        <v>-</v>
      </c>
      <c r="N101" s="72" t="str">
        <f ca="1"/>
        <v>-</v>
      </c>
      <c r="O101" s="73" t="str">
        <f ca="1"/>
        <v>-</v>
      </c>
      <c r="P101" s="72" t="str">
        <f ca="1"/>
        <v>-</v>
      </c>
      <c r="Q101" s="106" t="str">
        <f ca="1"/>
        <v>-</v>
      </c>
      <c r="R101" s="106" t="str">
        <f ca="1"/>
        <v>-</v>
      </c>
      <c r="S101" s="106" t="str">
        <f ca="1"/>
        <v>-</v>
      </c>
      <c r="T101" s="17" t="str">
        <f ca="1"/>
        <v>-</v>
      </c>
      <c r="U101" s="106" t="str">
        <f ca="1"/>
        <v>-</v>
      </c>
      <c r="V101" s="107" t="str">
        <f ca="1"/>
        <v>-</v>
      </c>
      <c r="W101" s="108" t="str">
        <f ca="1"/>
        <v>-</v>
      </c>
      <c r="X101" s="108" t="str">
        <f ca="1"/>
        <v>-</v>
      </c>
      <c r="Y101" s="108" t="str">
        <f ca="1"/>
        <v>-</v>
      </c>
      <c r="Z101" s="108" t="str">
        <f ca="1"/>
        <v>-</v>
      </c>
      <c r="AA101" s="108" t="str">
        <f ca="1"/>
        <v>-</v>
      </c>
      <c r="AB101" s="108" t="str">
        <f ca="1"/>
        <v>-</v>
      </c>
      <c r="AC101" s="109" t="str">
        <f ca="1"/>
        <v>-</v>
      </c>
      <c r="AD101" s="109" t="str">
        <f ca="1"/>
        <v>-</v>
      </c>
      <c r="AE101" s="62" t="str">
        <f ca="1"/>
        <v>-</v>
      </c>
      <c r="AF101" s="105" t="str">
        <f ca="1"/>
        <v>-</v>
      </c>
      <c r="AG101" s="62" t="str">
        <f ca="1"/>
        <v>-</v>
      </c>
      <c r="AH101" s="62" t="str">
        <f ca="1"/>
        <v>-</v>
      </c>
      <c r="AI101" s="62" t="str">
        <f ca="1"/>
        <v>-</v>
      </c>
      <c r="AJ101" s="62" t="str">
        <f ca="1"/>
        <v>-</v>
      </c>
      <c r="AK101" s="62" t="str">
        <f ca="1"/>
        <v>-</v>
      </c>
      <c r="AL101" s="109" t="str">
        <f ca="1"/>
        <v>-</v>
      </c>
      <c r="AM101" s="62" t="str">
        <f ca="1"/>
        <v>-</v>
      </c>
      <c r="AN101" s="62" t="str">
        <f ca="1"/>
        <v>-</v>
      </c>
      <c r="AO101" s="110" t="str">
        <f ca="1"/>
        <v>-</v>
      </c>
      <c r="AP101" s="110" t="str">
        <f ca="1"/>
        <v>-</v>
      </c>
      <c r="AQ101" s="110" t="str">
        <f ca="1"/>
        <v>-</v>
      </c>
      <c r="AR101" s="110" t="str">
        <f ca="1"/>
        <v>-</v>
      </c>
      <c r="AS101" s="110" t="str">
        <f ca="1"/>
        <v>-</v>
      </c>
      <c r="AT101" s="110" t="str">
        <f ca="1"/>
        <v>-</v>
      </c>
      <c r="AU101" s="110" t="str">
        <f ca="1"/>
        <v>-</v>
      </c>
      <c r="AV101" s="110" t="str">
        <f ca="1"/>
        <v>-</v>
      </c>
      <c r="AW101" s="110" t="str">
        <f ca="1"/>
        <v>-</v>
      </c>
      <c r="AX101" s="110" t="str">
        <f ca="1"/>
        <v>-</v>
      </c>
      <c r="AY101" s="110" t="str">
        <f ca="1"/>
        <v>-</v>
      </c>
      <c r="AZ101" s="110" t="str">
        <f ca="1"/>
        <v>-</v>
      </c>
      <c r="BA101" s="110" t="str">
        <f ca="1"/>
        <v>-</v>
      </c>
      <c r="BB101" s="110" t="str">
        <f ca="1"/>
        <v>-</v>
      </c>
      <c r="BC101" s="110" t="str">
        <f ca="1"/>
        <v>-</v>
      </c>
      <c r="BD101" s="110" t="str">
        <f ca="1"/>
        <v>-</v>
      </c>
      <c r="BE101" s="110" t="str">
        <f ca="1"/>
        <v>-</v>
      </c>
      <c r="BF101" s="110" t="str">
        <f ca="1"/>
        <v>-</v>
      </c>
      <c r="BG101" s="110" t="str">
        <f ca="1"/>
        <v>-</v>
      </c>
      <c r="BH101" s="110" t="str">
        <f ca="1"/>
        <v>-</v>
      </c>
      <c r="BI101" s="110" t="str">
        <f ca="1"/>
        <v>-</v>
      </c>
      <c r="BJ101" s="110" t="str">
        <f ca="1"/>
        <v>-</v>
      </c>
      <c r="BK101" s="110" t="str">
        <f ca="1"/>
        <v>-</v>
      </c>
      <c r="BL101" s="110" t="str">
        <f ca="1"/>
        <v>-</v>
      </c>
    </row>
    <row r="102" spans="4:64">
      <c r="D102" s="72" t="str">
        <f ca="1"/>
        <v>-</v>
      </c>
      <c r="E102" s="72" t="str">
        <f ca="1"/>
        <v>-</v>
      </c>
      <c r="F102" s="72" t="str">
        <f ca="1"/>
        <v>-</v>
      </c>
      <c r="G102" s="72" t="str">
        <f ca="1"/>
        <v>-</v>
      </c>
      <c r="H102" s="72" t="str">
        <f ca="1"/>
        <v>-</v>
      </c>
      <c r="I102" s="72" t="str">
        <f ca="1"/>
        <v>-</v>
      </c>
      <c r="J102" s="72" t="str">
        <f ca="1"/>
        <v>-</v>
      </c>
      <c r="K102" s="72" t="str">
        <f ca="1"/>
        <v>-</v>
      </c>
      <c r="L102" s="72" t="str">
        <f ca="1"/>
        <v>-</v>
      </c>
      <c r="M102" s="72" t="str">
        <f ca="1"/>
        <v>-</v>
      </c>
      <c r="N102" s="72" t="str">
        <f ca="1"/>
        <v>-</v>
      </c>
      <c r="O102" s="73" t="str">
        <f ca="1"/>
        <v>-</v>
      </c>
      <c r="P102" s="72" t="str">
        <f ca="1"/>
        <v>-</v>
      </c>
      <c r="Q102" s="106" t="str">
        <f ca="1"/>
        <v>-</v>
      </c>
      <c r="R102" s="106" t="str">
        <f ca="1"/>
        <v>-</v>
      </c>
      <c r="S102" s="106" t="str">
        <f ca="1"/>
        <v>-</v>
      </c>
      <c r="T102" s="17" t="str">
        <f ca="1"/>
        <v>-</v>
      </c>
      <c r="U102" s="106" t="str">
        <f ca="1"/>
        <v>-</v>
      </c>
      <c r="V102" s="107" t="str">
        <f ca="1"/>
        <v>-</v>
      </c>
      <c r="W102" s="108" t="str">
        <f ca="1"/>
        <v>-</v>
      </c>
      <c r="X102" s="108" t="str">
        <f ca="1"/>
        <v>-</v>
      </c>
      <c r="Y102" s="108" t="str">
        <f ca="1"/>
        <v>-</v>
      </c>
      <c r="Z102" s="108" t="str">
        <f ca="1"/>
        <v>-</v>
      </c>
      <c r="AA102" s="108" t="str">
        <f ca="1"/>
        <v>-</v>
      </c>
      <c r="AB102" s="108" t="str">
        <f ca="1"/>
        <v>-</v>
      </c>
      <c r="AC102" s="109" t="str">
        <f ca="1"/>
        <v>-</v>
      </c>
      <c r="AD102" s="109" t="str">
        <f ca="1"/>
        <v>-</v>
      </c>
      <c r="AE102" s="62" t="str">
        <f ca="1"/>
        <v>-</v>
      </c>
      <c r="AF102" s="105" t="str">
        <f ca="1"/>
        <v>-</v>
      </c>
      <c r="AG102" s="62" t="str">
        <f ca="1"/>
        <v>-</v>
      </c>
      <c r="AH102" s="62" t="str">
        <f ca="1"/>
        <v>-</v>
      </c>
      <c r="AI102" s="62" t="str">
        <f ca="1"/>
        <v>-</v>
      </c>
      <c r="AJ102" s="62" t="str">
        <f ca="1"/>
        <v>-</v>
      </c>
      <c r="AK102" s="62" t="str">
        <f ca="1"/>
        <v>-</v>
      </c>
      <c r="AL102" s="109" t="str">
        <f ca="1"/>
        <v>-</v>
      </c>
      <c r="AM102" s="62" t="str">
        <f ca="1"/>
        <v>-</v>
      </c>
      <c r="AN102" s="62" t="str">
        <f ca="1"/>
        <v>-</v>
      </c>
      <c r="AO102" s="110" t="str">
        <f ca="1"/>
        <v>-</v>
      </c>
      <c r="AP102" s="110" t="str">
        <f ca="1"/>
        <v>-</v>
      </c>
      <c r="AQ102" s="110" t="str">
        <f ca="1"/>
        <v>-</v>
      </c>
      <c r="AR102" s="110" t="str">
        <f ca="1"/>
        <v>-</v>
      </c>
      <c r="AS102" s="110" t="str">
        <f ca="1"/>
        <v>-</v>
      </c>
      <c r="AT102" s="110" t="str">
        <f ca="1"/>
        <v>-</v>
      </c>
      <c r="AU102" s="110" t="str">
        <f ca="1"/>
        <v>-</v>
      </c>
      <c r="AV102" s="110" t="str">
        <f ca="1"/>
        <v>-</v>
      </c>
      <c r="AW102" s="110" t="str">
        <f ca="1"/>
        <v>-</v>
      </c>
      <c r="AX102" s="110" t="str">
        <f ca="1"/>
        <v>-</v>
      </c>
      <c r="AY102" s="110" t="str">
        <f ca="1"/>
        <v>-</v>
      </c>
      <c r="AZ102" s="110" t="str">
        <f ca="1"/>
        <v>-</v>
      </c>
      <c r="BA102" s="110" t="str">
        <f ca="1"/>
        <v>-</v>
      </c>
      <c r="BB102" s="110" t="str">
        <f ca="1"/>
        <v>-</v>
      </c>
      <c r="BC102" s="110" t="str">
        <f ca="1"/>
        <v>-</v>
      </c>
      <c r="BD102" s="110" t="str">
        <f ca="1"/>
        <v>-</v>
      </c>
      <c r="BE102" s="110" t="str">
        <f ca="1"/>
        <v>-</v>
      </c>
      <c r="BF102" s="110" t="str">
        <f ca="1"/>
        <v>-</v>
      </c>
      <c r="BG102" s="110" t="str">
        <f ca="1"/>
        <v>-</v>
      </c>
      <c r="BH102" s="110" t="str">
        <f ca="1"/>
        <v>-</v>
      </c>
      <c r="BI102" s="110" t="str">
        <f ca="1"/>
        <v>-</v>
      </c>
      <c r="BJ102" s="110" t="str">
        <f ca="1"/>
        <v>-</v>
      </c>
      <c r="BK102" s="110" t="str">
        <f ca="1"/>
        <v>-</v>
      </c>
      <c r="BL102" s="110" t="str">
        <f ca="1"/>
        <v>-</v>
      </c>
    </row>
    <row r="103" spans="4:64">
      <c r="D103" s="72" t="str">
        <f ca="1"/>
        <v>-</v>
      </c>
      <c r="E103" s="72" t="str">
        <f ca="1"/>
        <v>-</v>
      </c>
      <c r="F103" s="72" t="str">
        <f ca="1"/>
        <v>-</v>
      </c>
      <c r="G103" s="72" t="str">
        <f ca="1"/>
        <v>-</v>
      </c>
      <c r="H103" s="72" t="str">
        <f ca="1"/>
        <v>-</v>
      </c>
      <c r="I103" s="72" t="str">
        <f ca="1"/>
        <v>-</v>
      </c>
      <c r="J103" s="72" t="str">
        <f ca="1"/>
        <v>-</v>
      </c>
      <c r="K103" s="72" t="str">
        <f ca="1"/>
        <v>-</v>
      </c>
      <c r="L103" s="72" t="str">
        <f ca="1"/>
        <v>-</v>
      </c>
      <c r="M103" s="72" t="str">
        <f ca="1"/>
        <v>-</v>
      </c>
      <c r="N103" s="72" t="str">
        <f ca="1"/>
        <v>-</v>
      </c>
      <c r="O103" s="73" t="str">
        <f ca="1"/>
        <v>-</v>
      </c>
      <c r="P103" s="72" t="str">
        <f ca="1"/>
        <v>-</v>
      </c>
      <c r="Q103" s="106" t="str">
        <f ca="1"/>
        <v>-</v>
      </c>
      <c r="R103" s="106" t="str">
        <f ca="1"/>
        <v>-</v>
      </c>
      <c r="S103" s="106" t="str">
        <f ca="1"/>
        <v>-</v>
      </c>
      <c r="T103" s="17" t="str">
        <f ca="1"/>
        <v>-</v>
      </c>
      <c r="U103" s="106" t="str">
        <f ca="1"/>
        <v>-</v>
      </c>
      <c r="V103" s="107" t="str">
        <f ca="1"/>
        <v>-</v>
      </c>
      <c r="W103" s="108" t="str">
        <f ca="1"/>
        <v>-</v>
      </c>
      <c r="X103" s="108" t="str">
        <f ca="1"/>
        <v>-</v>
      </c>
      <c r="Y103" s="108" t="str">
        <f ca="1"/>
        <v>-</v>
      </c>
      <c r="Z103" s="108" t="str">
        <f ca="1"/>
        <v>-</v>
      </c>
      <c r="AA103" s="108" t="str">
        <f ca="1"/>
        <v>-</v>
      </c>
      <c r="AB103" s="108" t="str">
        <f ca="1"/>
        <v>-</v>
      </c>
      <c r="AC103" s="109" t="str">
        <f ca="1"/>
        <v>-</v>
      </c>
      <c r="AD103" s="109" t="str">
        <f ca="1"/>
        <v>-</v>
      </c>
      <c r="AE103" s="62" t="str">
        <f ca="1"/>
        <v>-</v>
      </c>
      <c r="AF103" s="105" t="str">
        <f ca="1"/>
        <v>-</v>
      </c>
      <c r="AG103" s="62" t="str">
        <f ca="1"/>
        <v>-</v>
      </c>
      <c r="AH103" s="62" t="str">
        <f ca="1"/>
        <v>-</v>
      </c>
      <c r="AI103" s="62" t="str">
        <f ca="1"/>
        <v>-</v>
      </c>
      <c r="AJ103" s="62" t="str">
        <f ca="1"/>
        <v>-</v>
      </c>
      <c r="AK103" s="62" t="str">
        <f ca="1"/>
        <v>-</v>
      </c>
      <c r="AL103" s="109" t="str">
        <f ca="1"/>
        <v>-</v>
      </c>
      <c r="AM103" s="62" t="str">
        <f ca="1"/>
        <v>-</v>
      </c>
      <c r="AN103" s="62" t="str">
        <f ca="1"/>
        <v>-</v>
      </c>
      <c r="AO103" s="110" t="str">
        <f ca="1"/>
        <v>-</v>
      </c>
      <c r="AP103" s="110" t="str">
        <f ca="1"/>
        <v>-</v>
      </c>
      <c r="AQ103" s="110" t="str">
        <f ca="1"/>
        <v>-</v>
      </c>
      <c r="AR103" s="110" t="str">
        <f ca="1"/>
        <v>-</v>
      </c>
      <c r="AS103" s="110" t="str">
        <f ca="1"/>
        <v>-</v>
      </c>
      <c r="AT103" s="110" t="str">
        <f ca="1"/>
        <v>-</v>
      </c>
      <c r="AU103" s="110" t="str">
        <f ca="1"/>
        <v>-</v>
      </c>
      <c r="AV103" s="110" t="str">
        <f ca="1"/>
        <v>-</v>
      </c>
      <c r="AW103" s="110" t="str">
        <f ca="1"/>
        <v>-</v>
      </c>
      <c r="AX103" s="110" t="str">
        <f ca="1"/>
        <v>-</v>
      </c>
      <c r="AY103" s="110" t="str">
        <f ca="1"/>
        <v>-</v>
      </c>
      <c r="AZ103" s="110" t="str">
        <f ca="1"/>
        <v>-</v>
      </c>
      <c r="BA103" s="110" t="str">
        <f ca="1"/>
        <v>-</v>
      </c>
      <c r="BB103" s="110" t="str">
        <f ca="1"/>
        <v>-</v>
      </c>
      <c r="BC103" s="110" t="str">
        <f ca="1"/>
        <v>-</v>
      </c>
      <c r="BD103" s="110" t="str">
        <f ca="1"/>
        <v>-</v>
      </c>
      <c r="BE103" s="110" t="str">
        <f ca="1"/>
        <v>-</v>
      </c>
      <c r="BF103" s="110" t="str">
        <f ca="1"/>
        <v>-</v>
      </c>
      <c r="BG103" s="110" t="str">
        <f ca="1"/>
        <v>-</v>
      </c>
      <c r="BH103" s="110" t="str">
        <f ca="1"/>
        <v>-</v>
      </c>
      <c r="BI103" s="110" t="str">
        <f ca="1"/>
        <v>-</v>
      </c>
      <c r="BJ103" s="110" t="str">
        <f ca="1"/>
        <v>-</v>
      </c>
      <c r="BK103" s="110" t="str">
        <f ca="1"/>
        <v>-</v>
      </c>
      <c r="BL103" s="110" t="str">
        <f ca="1"/>
        <v>-</v>
      </c>
    </row>
    <row r="105" spans="4:64">
      <c r="D105" s="111" t="str">
        <f t="shared" ref="D105:U105" si="70">IF($B$80=FALSE,"--",D84-D95)</f>
        <v>--</v>
      </c>
      <c r="E105" s="111" t="str">
        <f t="shared" si="70"/>
        <v>--</v>
      </c>
      <c r="F105" s="111" t="str">
        <f t="shared" si="70"/>
        <v>--</v>
      </c>
      <c r="G105" s="111" t="str">
        <f t="shared" si="70"/>
        <v>--</v>
      </c>
      <c r="H105" s="111" t="str">
        <f t="shared" si="70"/>
        <v>--</v>
      </c>
      <c r="I105" s="111" t="str">
        <f t="shared" si="70"/>
        <v>--</v>
      </c>
      <c r="J105" s="111" t="str">
        <f t="shared" si="70"/>
        <v>--</v>
      </c>
      <c r="K105" s="111" t="str">
        <f t="shared" si="70"/>
        <v>--</v>
      </c>
      <c r="L105" s="111" t="str">
        <f t="shared" si="70"/>
        <v>--</v>
      </c>
      <c r="M105" s="111" t="str">
        <f t="shared" si="70"/>
        <v>--</v>
      </c>
      <c r="N105" s="111" t="str">
        <f t="shared" si="70"/>
        <v>--</v>
      </c>
      <c r="O105" s="111" t="str">
        <f t="shared" si="70"/>
        <v>--</v>
      </c>
      <c r="P105" s="111" t="str">
        <f t="shared" si="70"/>
        <v>--</v>
      </c>
      <c r="Q105" s="111" t="str">
        <f t="shared" si="70"/>
        <v>--</v>
      </c>
      <c r="R105" s="111" t="str">
        <f t="shared" si="70"/>
        <v>--</v>
      </c>
      <c r="S105" s="111" t="str">
        <f t="shared" si="70"/>
        <v>--</v>
      </c>
      <c r="T105" s="111" t="str">
        <f t="shared" si="70"/>
        <v>--</v>
      </c>
      <c r="U105" s="111" t="str">
        <f t="shared" si="70"/>
        <v>--</v>
      </c>
      <c r="V105" s="112" t="str">
        <f t="shared" ref="V105:V113" si="71">IF($B$80=FALSE,"--",IF($B$82=TRUE,"",V84-V95))</f>
        <v>--</v>
      </c>
      <c r="W105" s="111" t="str">
        <f t="shared" ref="W105:BL105" si="72">IF($B$80=FALSE,"--",W84-W95)</f>
        <v>--</v>
      </c>
      <c r="X105" s="111" t="str">
        <f t="shared" si="72"/>
        <v>--</v>
      </c>
      <c r="Y105" s="111" t="str">
        <f t="shared" si="72"/>
        <v>--</v>
      </c>
      <c r="Z105" s="111" t="str">
        <f t="shared" si="72"/>
        <v>--</v>
      </c>
      <c r="AA105" s="111" t="str">
        <f t="shared" si="72"/>
        <v>--</v>
      </c>
      <c r="AB105" s="111" t="str">
        <f t="shared" si="72"/>
        <v>--</v>
      </c>
      <c r="AC105" s="111" t="str">
        <f t="shared" si="72"/>
        <v>--</v>
      </c>
      <c r="AD105" s="111" t="str">
        <f t="shared" si="72"/>
        <v>--</v>
      </c>
      <c r="AE105" s="111" t="str">
        <f t="shared" si="72"/>
        <v>--</v>
      </c>
      <c r="AF105" s="111" t="str">
        <f t="shared" si="72"/>
        <v>--</v>
      </c>
      <c r="AG105" s="111" t="str">
        <f t="shared" si="72"/>
        <v>--</v>
      </c>
      <c r="AH105" s="111" t="str">
        <f t="shared" si="72"/>
        <v>--</v>
      </c>
      <c r="AI105" s="111" t="str">
        <f t="shared" si="72"/>
        <v>--</v>
      </c>
      <c r="AJ105" s="111" t="str">
        <f t="shared" si="72"/>
        <v>--</v>
      </c>
      <c r="AK105" s="111" t="str">
        <f t="shared" si="72"/>
        <v>--</v>
      </c>
      <c r="AL105" s="111" t="str">
        <f t="shared" si="72"/>
        <v>--</v>
      </c>
      <c r="AM105" s="111" t="str">
        <f t="shared" si="72"/>
        <v>--</v>
      </c>
      <c r="AN105" s="111" t="str">
        <f t="shared" si="72"/>
        <v>--</v>
      </c>
      <c r="AO105" s="111" t="str">
        <f t="shared" si="72"/>
        <v>--</v>
      </c>
      <c r="AP105" s="111" t="str">
        <f t="shared" si="72"/>
        <v>--</v>
      </c>
      <c r="AQ105" s="111" t="str">
        <f t="shared" si="72"/>
        <v>--</v>
      </c>
      <c r="AR105" s="111" t="str">
        <f t="shared" si="72"/>
        <v>--</v>
      </c>
      <c r="AS105" s="111" t="str">
        <f t="shared" si="72"/>
        <v>--</v>
      </c>
      <c r="AT105" s="111" t="str">
        <f t="shared" si="72"/>
        <v>--</v>
      </c>
      <c r="AU105" s="111" t="str">
        <f t="shared" si="72"/>
        <v>--</v>
      </c>
      <c r="AV105" s="111" t="str">
        <f t="shared" si="72"/>
        <v>--</v>
      </c>
      <c r="AW105" s="111" t="str">
        <f t="shared" si="72"/>
        <v>--</v>
      </c>
      <c r="AX105" s="111" t="str">
        <f t="shared" si="72"/>
        <v>--</v>
      </c>
      <c r="AY105" s="111" t="str">
        <f t="shared" si="72"/>
        <v>--</v>
      </c>
      <c r="AZ105" s="111" t="str">
        <f t="shared" si="72"/>
        <v>--</v>
      </c>
      <c r="BA105" s="111" t="str">
        <f t="shared" si="72"/>
        <v>--</v>
      </c>
      <c r="BB105" s="111" t="str">
        <f t="shared" si="72"/>
        <v>--</v>
      </c>
      <c r="BC105" s="111" t="str">
        <f t="shared" si="72"/>
        <v>--</v>
      </c>
      <c r="BD105" s="111" t="str">
        <f t="shared" si="72"/>
        <v>--</v>
      </c>
      <c r="BE105" s="111" t="str">
        <f t="shared" si="72"/>
        <v>--</v>
      </c>
      <c r="BF105" s="111" t="str">
        <f t="shared" si="72"/>
        <v>--</v>
      </c>
      <c r="BG105" s="111" t="str">
        <f t="shared" si="72"/>
        <v>--</v>
      </c>
      <c r="BH105" s="111" t="str">
        <f t="shared" si="72"/>
        <v>--</v>
      </c>
      <c r="BI105" s="111" t="str">
        <f t="shared" si="72"/>
        <v>--</v>
      </c>
      <c r="BJ105" s="111" t="str">
        <f t="shared" si="72"/>
        <v>--</v>
      </c>
      <c r="BK105" s="111" t="str">
        <f t="shared" si="72"/>
        <v>--</v>
      </c>
      <c r="BL105" s="111" t="str">
        <f t="shared" si="72"/>
        <v>--</v>
      </c>
    </row>
    <row r="106" spans="4:64">
      <c r="D106" s="111" t="str">
        <f t="shared" ref="D106:U106" si="73">IF($B$80=FALSE,"--",D85-D96)</f>
        <v>--</v>
      </c>
      <c r="E106" s="111" t="str">
        <f t="shared" si="73"/>
        <v>--</v>
      </c>
      <c r="F106" s="111" t="str">
        <f t="shared" si="73"/>
        <v>--</v>
      </c>
      <c r="G106" s="111" t="str">
        <f t="shared" si="73"/>
        <v>--</v>
      </c>
      <c r="H106" s="111" t="str">
        <f t="shared" si="73"/>
        <v>--</v>
      </c>
      <c r="I106" s="111" t="str">
        <f t="shared" si="73"/>
        <v>--</v>
      </c>
      <c r="J106" s="111" t="str">
        <f t="shared" si="73"/>
        <v>--</v>
      </c>
      <c r="K106" s="111" t="str">
        <f t="shared" si="73"/>
        <v>--</v>
      </c>
      <c r="L106" s="111" t="str">
        <f t="shared" si="73"/>
        <v>--</v>
      </c>
      <c r="M106" s="111" t="str">
        <f t="shared" si="73"/>
        <v>--</v>
      </c>
      <c r="N106" s="111" t="str">
        <f t="shared" si="73"/>
        <v>--</v>
      </c>
      <c r="O106" s="111" t="str">
        <f t="shared" si="73"/>
        <v>--</v>
      </c>
      <c r="P106" s="111" t="str">
        <f t="shared" si="73"/>
        <v>--</v>
      </c>
      <c r="Q106" s="111" t="str">
        <f t="shared" si="73"/>
        <v>--</v>
      </c>
      <c r="R106" s="111" t="str">
        <f t="shared" si="73"/>
        <v>--</v>
      </c>
      <c r="S106" s="111" t="str">
        <f t="shared" si="73"/>
        <v>--</v>
      </c>
      <c r="T106" s="111" t="str">
        <f t="shared" si="73"/>
        <v>--</v>
      </c>
      <c r="U106" s="111" t="str">
        <f t="shared" si="73"/>
        <v>--</v>
      </c>
      <c r="V106" s="112" t="str">
        <f t="shared" si="71"/>
        <v>--</v>
      </c>
      <c r="W106" s="111" t="str">
        <f t="shared" ref="W106:BL106" si="74">IF($B$80=FALSE,"--",W85-W96)</f>
        <v>--</v>
      </c>
      <c r="X106" s="111" t="str">
        <f t="shared" si="74"/>
        <v>--</v>
      </c>
      <c r="Y106" s="111" t="str">
        <f t="shared" si="74"/>
        <v>--</v>
      </c>
      <c r="Z106" s="111" t="str">
        <f t="shared" si="74"/>
        <v>--</v>
      </c>
      <c r="AA106" s="111" t="str">
        <f t="shared" si="74"/>
        <v>--</v>
      </c>
      <c r="AB106" s="111" t="str">
        <f t="shared" si="74"/>
        <v>--</v>
      </c>
      <c r="AC106" s="111" t="str">
        <f t="shared" si="74"/>
        <v>--</v>
      </c>
      <c r="AD106" s="111" t="str">
        <f t="shared" si="74"/>
        <v>--</v>
      </c>
      <c r="AE106" s="111" t="str">
        <f t="shared" si="74"/>
        <v>--</v>
      </c>
      <c r="AF106" s="111" t="str">
        <f t="shared" si="74"/>
        <v>--</v>
      </c>
      <c r="AG106" s="111" t="str">
        <f t="shared" si="74"/>
        <v>--</v>
      </c>
      <c r="AH106" s="111" t="str">
        <f t="shared" si="74"/>
        <v>--</v>
      </c>
      <c r="AI106" s="111" t="str">
        <f t="shared" si="74"/>
        <v>--</v>
      </c>
      <c r="AJ106" s="111" t="str">
        <f t="shared" si="74"/>
        <v>--</v>
      </c>
      <c r="AK106" s="111" t="str">
        <f t="shared" si="74"/>
        <v>--</v>
      </c>
      <c r="AL106" s="111" t="str">
        <f t="shared" si="74"/>
        <v>--</v>
      </c>
      <c r="AM106" s="111" t="str">
        <f t="shared" si="74"/>
        <v>--</v>
      </c>
      <c r="AN106" s="111" t="str">
        <f t="shared" si="74"/>
        <v>--</v>
      </c>
      <c r="AO106" s="111" t="str">
        <f t="shared" si="74"/>
        <v>--</v>
      </c>
      <c r="AP106" s="111" t="str">
        <f t="shared" si="74"/>
        <v>--</v>
      </c>
      <c r="AQ106" s="111" t="str">
        <f t="shared" si="74"/>
        <v>--</v>
      </c>
      <c r="AR106" s="111" t="str">
        <f t="shared" si="74"/>
        <v>--</v>
      </c>
      <c r="AS106" s="111" t="str">
        <f t="shared" si="74"/>
        <v>--</v>
      </c>
      <c r="AT106" s="111" t="str">
        <f t="shared" si="74"/>
        <v>--</v>
      </c>
      <c r="AU106" s="111" t="str">
        <f t="shared" si="74"/>
        <v>--</v>
      </c>
      <c r="AV106" s="111" t="str">
        <f t="shared" si="74"/>
        <v>--</v>
      </c>
      <c r="AW106" s="111" t="str">
        <f t="shared" si="74"/>
        <v>--</v>
      </c>
      <c r="AX106" s="111" t="str">
        <f t="shared" si="74"/>
        <v>--</v>
      </c>
      <c r="AY106" s="111" t="str">
        <f t="shared" si="74"/>
        <v>--</v>
      </c>
      <c r="AZ106" s="111" t="str">
        <f t="shared" si="74"/>
        <v>--</v>
      </c>
      <c r="BA106" s="111" t="str">
        <f t="shared" si="74"/>
        <v>--</v>
      </c>
      <c r="BB106" s="111" t="str">
        <f t="shared" si="74"/>
        <v>--</v>
      </c>
      <c r="BC106" s="111" t="str">
        <f t="shared" si="74"/>
        <v>--</v>
      </c>
      <c r="BD106" s="111" t="str">
        <f t="shared" si="74"/>
        <v>--</v>
      </c>
      <c r="BE106" s="111" t="str">
        <f t="shared" si="74"/>
        <v>--</v>
      </c>
      <c r="BF106" s="111" t="str">
        <f t="shared" si="74"/>
        <v>--</v>
      </c>
      <c r="BG106" s="111" t="str">
        <f t="shared" si="74"/>
        <v>--</v>
      </c>
      <c r="BH106" s="111" t="str">
        <f t="shared" si="74"/>
        <v>--</v>
      </c>
      <c r="BI106" s="111" t="str">
        <f t="shared" si="74"/>
        <v>--</v>
      </c>
      <c r="BJ106" s="111" t="str">
        <f t="shared" si="74"/>
        <v>--</v>
      </c>
      <c r="BK106" s="111" t="str">
        <f t="shared" si="74"/>
        <v>--</v>
      </c>
      <c r="BL106" s="111" t="str">
        <f t="shared" si="74"/>
        <v>--</v>
      </c>
    </row>
    <row r="107" spans="4:64">
      <c r="D107" s="111" t="str">
        <f t="shared" ref="D107:U107" si="75">IF($B$80=FALSE,"--",D86-D97)</f>
        <v>--</v>
      </c>
      <c r="E107" s="111" t="str">
        <f t="shared" si="75"/>
        <v>--</v>
      </c>
      <c r="F107" s="111" t="str">
        <f t="shared" si="75"/>
        <v>--</v>
      </c>
      <c r="G107" s="111" t="str">
        <f t="shared" si="75"/>
        <v>--</v>
      </c>
      <c r="H107" s="111" t="str">
        <f t="shared" si="75"/>
        <v>--</v>
      </c>
      <c r="I107" s="111" t="str">
        <f t="shared" si="75"/>
        <v>--</v>
      </c>
      <c r="J107" s="111" t="str">
        <f t="shared" si="75"/>
        <v>--</v>
      </c>
      <c r="K107" s="111" t="str">
        <f t="shared" si="75"/>
        <v>--</v>
      </c>
      <c r="L107" s="111" t="str">
        <f t="shared" si="75"/>
        <v>--</v>
      </c>
      <c r="M107" s="111" t="str">
        <f t="shared" si="75"/>
        <v>--</v>
      </c>
      <c r="N107" s="111" t="str">
        <f t="shared" si="75"/>
        <v>--</v>
      </c>
      <c r="O107" s="111" t="str">
        <f t="shared" si="75"/>
        <v>--</v>
      </c>
      <c r="P107" s="111" t="str">
        <f t="shared" si="75"/>
        <v>--</v>
      </c>
      <c r="Q107" s="111" t="str">
        <f t="shared" si="75"/>
        <v>--</v>
      </c>
      <c r="R107" s="111" t="str">
        <f t="shared" si="75"/>
        <v>--</v>
      </c>
      <c r="S107" s="111" t="str">
        <f t="shared" si="75"/>
        <v>--</v>
      </c>
      <c r="T107" s="111" t="str">
        <f t="shared" si="75"/>
        <v>--</v>
      </c>
      <c r="U107" s="111" t="str">
        <f t="shared" si="75"/>
        <v>--</v>
      </c>
      <c r="V107" s="112" t="str">
        <f t="shared" si="71"/>
        <v>--</v>
      </c>
      <c r="W107" s="111" t="str">
        <f t="shared" ref="W107:BL107" si="76">IF($B$80=FALSE,"--",W86-W97)</f>
        <v>--</v>
      </c>
      <c r="X107" s="111" t="str">
        <f t="shared" si="76"/>
        <v>--</v>
      </c>
      <c r="Y107" s="111" t="str">
        <f t="shared" si="76"/>
        <v>--</v>
      </c>
      <c r="Z107" s="111" t="str">
        <f t="shared" si="76"/>
        <v>--</v>
      </c>
      <c r="AA107" s="111" t="str">
        <f t="shared" si="76"/>
        <v>--</v>
      </c>
      <c r="AB107" s="111" t="str">
        <f t="shared" si="76"/>
        <v>--</v>
      </c>
      <c r="AC107" s="111" t="str">
        <f t="shared" si="76"/>
        <v>--</v>
      </c>
      <c r="AD107" s="111" t="str">
        <f t="shared" si="76"/>
        <v>--</v>
      </c>
      <c r="AE107" s="111" t="str">
        <f t="shared" si="76"/>
        <v>--</v>
      </c>
      <c r="AF107" s="111" t="str">
        <f t="shared" si="76"/>
        <v>--</v>
      </c>
      <c r="AG107" s="111" t="str">
        <f t="shared" si="76"/>
        <v>--</v>
      </c>
      <c r="AH107" s="111" t="str">
        <f t="shared" si="76"/>
        <v>--</v>
      </c>
      <c r="AI107" s="111" t="str">
        <f t="shared" si="76"/>
        <v>--</v>
      </c>
      <c r="AJ107" s="111" t="str">
        <f t="shared" si="76"/>
        <v>--</v>
      </c>
      <c r="AK107" s="111" t="str">
        <f t="shared" si="76"/>
        <v>--</v>
      </c>
      <c r="AL107" s="111" t="str">
        <f t="shared" si="76"/>
        <v>--</v>
      </c>
      <c r="AM107" s="111" t="str">
        <f t="shared" si="76"/>
        <v>--</v>
      </c>
      <c r="AN107" s="111" t="str">
        <f t="shared" si="76"/>
        <v>--</v>
      </c>
      <c r="AO107" s="111" t="str">
        <f t="shared" si="76"/>
        <v>--</v>
      </c>
      <c r="AP107" s="111" t="str">
        <f t="shared" si="76"/>
        <v>--</v>
      </c>
      <c r="AQ107" s="111" t="str">
        <f t="shared" si="76"/>
        <v>--</v>
      </c>
      <c r="AR107" s="111" t="str">
        <f t="shared" si="76"/>
        <v>--</v>
      </c>
      <c r="AS107" s="111" t="str">
        <f t="shared" si="76"/>
        <v>--</v>
      </c>
      <c r="AT107" s="111" t="str">
        <f t="shared" si="76"/>
        <v>--</v>
      </c>
      <c r="AU107" s="111" t="str">
        <f t="shared" si="76"/>
        <v>--</v>
      </c>
      <c r="AV107" s="111" t="str">
        <f t="shared" si="76"/>
        <v>--</v>
      </c>
      <c r="AW107" s="111" t="str">
        <f t="shared" si="76"/>
        <v>--</v>
      </c>
      <c r="AX107" s="111" t="str">
        <f t="shared" si="76"/>
        <v>--</v>
      </c>
      <c r="AY107" s="111" t="str">
        <f t="shared" si="76"/>
        <v>--</v>
      </c>
      <c r="AZ107" s="111" t="str">
        <f t="shared" si="76"/>
        <v>--</v>
      </c>
      <c r="BA107" s="111" t="str">
        <f t="shared" si="76"/>
        <v>--</v>
      </c>
      <c r="BB107" s="111" t="str">
        <f t="shared" si="76"/>
        <v>--</v>
      </c>
      <c r="BC107" s="111" t="str">
        <f t="shared" si="76"/>
        <v>--</v>
      </c>
      <c r="BD107" s="111" t="str">
        <f t="shared" si="76"/>
        <v>--</v>
      </c>
      <c r="BE107" s="111" t="str">
        <f t="shared" si="76"/>
        <v>--</v>
      </c>
      <c r="BF107" s="111" t="str">
        <f t="shared" si="76"/>
        <v>--</v>
      </c>
      <c r="BG107" s="111" t="str">
        <f t="shared" si="76"/>
        <v>--</v>
      </c>
      <c r="BH107" s="111" t="str">
        <f t="shared" si="76"/>
        <v>--</v>
      </c>
      <c r="BI107" s="111" t="str">
        <f t="shared" si="76"/>
        <v>--</v>
      </c>
      <c r="BJ107" s="111" t="str">
        <f t="shared" si="76"/>
        <v>--</v>
      </c>
      <c r="BK107" s="111" t="str">
        <f t="shared" si="76"/>
        <v>--</v>
      </c>
      <c r="BL107" s="111" t="str">
        <f t="shared" si="76"/>
        <v>--</v>
      </c>
    </row>
    <row r="108" spans="4:64">
      <c r="D108" s="111" t="str">
        <f t="shared" ref="D108:U108" si="77">IF($B$80=FALSE,"--",D87-D98)</f>
        <v>--</v>
      </c>
      <c r="E108" s="111" t="str">
        <f t="shared" si="77"/>
        <v>--</v>
      </c>
      <c r="F108" s="111" t="str">
        <f t="shared" si="77"/>
        <v>--</v>
      </c>
      <c r="G108" s="111" t="str">
        <f t="shared" si="77"/>
        <v>--</v>
      </c>
      <c r="H108" s="111" t="str">
        <f t="shared" si="77"/>
        <v>--</v>
      </c>
      <c r="I108" s="111" t="str">
        <f t="shared" si="77"/>
        <v>--</v>
      </c>
      <c r="J108" s="111" t="str">
        <f t="shared" si="77"/>
        <v>--</v>
      </c>
      <c r="K108" s="111" t="str">
        <f t="shared" si="77"/>
        <v>--</v>
      </c>
      <c r="L108" s="111" t="str">
        <f t="shared" si="77"/>
        <v>--</v>
      </c>
      <c r="M108" s="111" t="str">
        <f t="shared" si="77"/>
        <v>--</v>
      </c>
      <c r="N108" s="111" t="str">
        <f t="shared" si="77"/>
        <v>--</v>
      </c>
      <c r="O108" s="111" t="str">
        <f t="shared" si="77"/>
        <v>--</v>
      </c>
      <c r="P108" s="111" t="str">
        <f t="shared" si="77"/>
        <v>--</v>
      </c>
      <c r="Q108" s="111" t="str">
        <f t="shared" si="77"/>
        <v>--</v>
      </c>
      <c r="R108" s="111" t="str">
        <f t="shared" si="77"/>
        <v>--</v>
      </c>
      <c r="S108" s="111" t="str">
        <f t="shared" si="77"/>
        <v>--</v>
      </c>
      <c r="T108" s="111" t="str">
        <f t="shared" si="77"/>
        <v>--</v>
      </c>
      <c r="U108" s="111" t="str">
        <f t="shared" si="77"/>
        <v>--</v>
      </c>
      <c r="V108" s="112" t="str">
        <f t="shared" si="71"/>
        <v>--</v>
      </c>
      <c r="W108" s="111" t="str">
        <f t="shared" ref="W108:BL108" si="78">IF($B$80=FALSE,"--",W87-W98)</f>
        <v>--</v>
      </c>
      <c r="X108" s="111" t="str">
        <f t="shared" si="78"/>
        <v>--</v>
      </c>
      <c r="Y108" s="111" t="str">
        <f t="shared" si="78"/>
        <v>--</v>
      </c>
      <c r="Z108" s="111" t="str">
        <f t="shared" si="78"/>
        <v>--</v>
      </c>
      <c r="AA108" s="111" t="str">
        <f t="shared" si="78"/>
        <v>--</v>
      </c>
      <c r="AB108" s="111" t="str">
        <f t="shared" si="78"/>
        <v>--</v>
      </c>
      <c r="AC108" s="111" t="str">
        <f t="shared" si="78"/>
        <v>--</v>
      </c>
      <c r="AD108" s="111" t="str">
        <f t="shared" si="78"/>
        <v>--</v>
      </c>
      <c r="AE108" s="111" t="str">
        <f t="shared" si="78"/>
        <v>--</v>
      </c>
      <c r="AF108" s="111" t="str">
        <f t="shared" si="78"/>
        <v>--</v>
      </c>
      <c r="AG108" s="111" t="str">
        <f t="shared" si="78"/>
        <v>--</v>
      </c>
      <c r="AH108" s="111" t="str">
        <f t="shared" si="78"/>
        <v>--</v>
      </c>
      <c r="AI108" s="111" t="str">
        <f t="shared" si="78"/>
        <v>--</v>
      </c>
      <c r="AJ108" s="111" t="str">
        <f t="shared" si="78"/>
        <v>--</v>
      </c>
      <c r="AK108" s="111" t="str">
        <f t="shared" si="78"/>
        <v>--</v>
      </c>
      <c r="AL108" s="111" t="str">
        <f t="shared" si="78"/>
        <v>--</v>
      </c>
      <c r="AM108" s="111" t="str">
        <f t="shared" si="78"/>
        <v>--</v>
      </c>
      <c r="AN108" s="111" t="str">
        <f t="shared" si="78"/>
        <v>--</v>
      </c>
      <c r="AO108" s="111" t="str">
        <f t="shared" si="78"/>
        <v>--</v>
      </c>
      <c r="AP108" s="111" t="str">
        <f t="shared" si="78"/>
        <v>--</v>
      </c>
      <c r="AQ108" s="111" t="str">
        <f t="shared" si="78"/>
        <v>--</v>
      </c>
      <c r="AR108" s="111" t="str">
        <f t="shared" si="78"/>
        <v>--</v>
      </c>
      <c r="AS108" s="111" t="str">
        <f t="shared" si="78"/>
        <v>--</v>
      </c>
      <c r="AT108" s="111" t="str">
        <f t="shared" si="78"/>
        <v>--</v>
      </c>
      <c r="AU108" s="111" t="str">
        <f t="shared" si="78"/>
        <v>--</v>
      </c>
      <c r="AV108" s="111" t="str">
        <f t="shared" si="78"/>
        <v>--</v>
      </c>
      <c r="AW108" s="111" t="str">
        <f t="shared" si="78"/>
        <v>--</v>
      </c>
      <c r="AX108" s="111" t="str">
        <f t="shared" si="78"/>
        <v>--</v>
      </c>
      <c r="AY108" s="111" t="str">
        <f t="shared" si="78"/>
        <v>--</v>
      </c>
      <c r="AZ108" s="111" t="str">
        <f t="shared" si="78"/>
        <v>--</v>
      </c>
      <c r="BA108" s="111" t="str">
        <f t="shared" si="78"/>
        <v>--</v>
      </c>
      <c r="BB108" s="111" t="str">
        <f t="shared" si="78"/>
        <v>--</v>
      </c>
      <c r="BC108" s="111" t="str">
        <f t="shared" si="78"/>
        <v>--</v>
      </c>
      <c r="BD108" s="111" t="str">
        <f t="shared" si="78"/>
        <v>--</v>
      </c>
      <c r="BE108" s="111" t="str">
        <f t="shared" si="78"/>
        <v>--</v>
      </c>
      <c r="BF108" s="111" t="str">
        <f t="shared" si="78"/>
        <v>--</v>
      </c>
      <c r="BG108" s="111" t="str">
        <f t="shared" si="78"/>
        <v>--</v>
      </c>
      <c r="BH108" s="111" t="str">
        <f t="shared" si="78"/>
        <v>--</v>
      </c>
      <c r="BI108" s="111" t="str">
        <f t="shared" si="78"/>
        <v>--</v>
      </c>
      <c r="BJ108" s="111" t="str">
        <f t="shared" si="78"/>
        <v>--</v>
      </c>
      <c r="BK108" s="111" t="str">
        <f t="shared" si="78"/>
        <v>--</v>
      </c>
      <c r="BL108" s="111" t="str">
        <f t="shared" si="78"/>
        <v>--</v>
      </c>
    </row>
    <row r="109" spans="4:64">
      <c r="D109" s="111" t="str">
        <f t="shared" ref="D109:U109" si="79">IF($B$80=FALSE,"--",D88-D99)</f>
        <v>--</v>
      </c>
      <c r="E109" s="111" t="str">
        <f t="shared" si="79"/>
        <v>--</v>
      </c>
      <c r="F109" s="111" t="str">
        <f t="shared" si="79"/>
        <v>--</v>
      </c>
      <c r="G109" s="111" t="str">
        <f t="shared" si="79"/>
        <v>--</v>
      </c>
      <c r="H109" s="111" t="str">
        <f t="shared" si="79"/>
        <v>--</v>
      </c>
      <c r="I109" s="111" t="str">
        <f t="shared" si="79"/>
        <v>--</v>
      </c>
      <c r="J109" s="111" t="str">
        <f t="shared" si="79"/>
        <v>--</v>
      </c>
      <c r="K109" s="111" t="str">
        <f t="shared" si="79"/>
        <v>--</v>
      </c>
      <c r="L109" s="111" t="str">
        <f t="shared" si="79"/>
        <v>--</v>
      </c>
      <c r="M109" s="111" t="str">
        <f t="shared" si="79"/>
        <v>--</v>
      </c>
      <c r="N109" s="111" t="str">
        <f t="shared" si="79"/>
        <v>--</v>
      </c>
      <c r="O109" s="111" t="str">
        <f t="shared" si="79"/>
        <v>--</v>
      </c>
      <c r="P109" s="111" t="str">
        <f t="shared" si="79"/>
        <v>--</v>
      </c>
      <c r="Q109" s="111" t="str">
        <f t="shared" si="79"/>
        <v>--</v>
      </c>
      <c r="R109" s="111" t="str">
        <f t="shared" si="79"/>
        <v>--</v>
      </c>
      <c r="S109" s="111" t="str">
        <f t="shared" si="79"/>
        <v>--</v>
      </c>
      <c r="T109" s="111" t="str">
        <f t="shared" si="79"/>
        <v>--</v>
      </c>
      <c r="U109" s="111" t="str">
        <f t="shared" si="79"/>
        <v>--</v>
      </c>
      <c r="V109" s="112" t="str">
        <f t="shared" si="71"/>
        <v>--</v>
      </c>
      <c r="W109" s="111" t="str">
        <f t="shared" ref="W109:BL109" si="80">IF($B$80=FALSE,"--",W88-W99)</f>
        <v>--</v>
      </c>
      <c r="X109" s="111" t="str">
        <f t="shared" si="80"/>
        <v>--</v>
      </c>
      <c r="Y109" s="111" t="str">
        <f t="shared" si="80"/>
        <v>--</v>
      </c>
      <c r="Z109" s="111" t="str">
        <f t="shared" si="80"/>
        <v>--</v>
      </c>
      <c r="AA109" s="111" t="str">
        <f t="shared" si="80"/>
        <v>--</v>
      </c>
      <c r="AB109" s="111" t="str">
        <f t="shared" si="80"/>
        <v>--</v>
      </c>
      <c r="AC109" s="111" t="str">
        <f t="shared" si="80"/>
        <v>--</v>
      </c>
      <c r="AD109" s="111" t="str">
        <f t="shared" si="80"/>
        <v>--</v>
      </c>
      <c r="AE109" s="111" t="str">
        <f t="shared" si="80"/>
        <v>--</v>
      </c>
      <c r="AF109" s="111" t="str">
        <f t="shared" si="80"/>
        <v>--</v>
      </c>
      <c r="AG109" s="111" t="str">
        <f t="shared" si="80"/>
        <v>--</v>
      </c>
      <c r="AH109" s="111" t="str">
        <f t="shared" si="80"/>
        <v>--</v>
      </c>
      <c r="AI109" s="111" t="str">
        <f t="shared" si="80"/>
        <v>--</v>
      </c>
      <c r="AJ109" s="111" t="str">
        <f t="shared" si="80"/>
        <v>--</v>
      </c>
      <c r="AK109" s="111" t="str">
        <f t="shared" si="80"/>
        <v>--</v>
      </c>
      <c r="AL109" s="111" t="str">
        <f t="shared" si="80"/>
        <v>--</v>
      </c>
      <c r="AM109" s="111" t="str">
        <f t="shared" si="80"/>
        <v>--</v>
      </c>
      <c r="AN109" s="111" t="str">
        <f t="shared" si="80"/>
        <v>--</v>
      </c>
      <c r="AO109" s="111" t="str">
        <f t="shared" si="80"/>
        <v>--</v>
      </c>
      <c r="AP109" s="111" t="str">
        <f t="shared" si="80"/>
        <v>--</v>
      </c>
      <c r="AQ109" s="111" t="str">
        <f t="shared" si="80"/>
        <v>--</v>
      </c>
      <c r="AR109" s="111" t="str">
        <f t="shared" si="80"/>
        <v>--</v>
      </c>
      <c r="AS109" s="111" t="str">
        <f t="shared" si="80"/>
        <v>--</v>
      </c>
      <c r="AT109" s="111" t="str">
        <f t="shared" si="80"/>
        <v>--</v>
      </c>
      <c r="AU109" s="111" t="str">
        <f t="shared" si="80"/>
        <v>--</v>
      </c>
      <c r="AV109" s="111" t="str">
        <f t="shared" si="80"/>
        <v>--</v>
      </c>
      <c r="AW109" s="111" t="str">
        <f t="shared" si="80"/>
        <v>--</v>
      </c>
      <c r="AX109" s="111" t="str">
        <f t="shared" si="80"/>
        <v>--</v>
      </c>
      <c r="AY109" s="111" t="str">
        <f t="shared" si="80"/>
        <v>--</v>
      </c>
      <c r="AZ109" s="111" t="str">
        <f t="shared" si="80"/>
        <v>--</v>
      </c>
      <c r="BA109" s="111" t="str">
        <f t="shared" si="80"/>
        <v>--</v>
      </c>
      <c r="BB109" s="111" t="str">
        <f t="shared" si="80"/>
        <v>--</v>
      </c>
      <c r="BC109" s="111" t="str">
        <f t="shared" si="80"/>
        <v>--</v>
      </c>
      <c r="BD109" s="111" t="str">
        <f t="shared" si="80"/>
        <v>--</v>
      </c>
      <c r="BE109" s="111" t="str">
        <f t="shared" si="80"/>
        <v>--</v>
      </c>
      <c r="BF109" s="111" t="str">
        <f t="shared" si="80"/>
        <v>--</v>
      </c>
      <c r="BG109" s="111" t="str">
        <f t="shared" si="80"/>
        <v>--</v>
      </c>
      <c r="BH109" s="111" t="str">
        <f t="shared" si="80"/>
        <v>--</v>
      </c>
      <c r="BI109" s="111" t="str">
        <f t="shared" si="80"/>
        <v>--</v>
      </c>
      <c r="BJ109" s="111" t="str">
        <f t="shared" si="80"/>
        <v>--</v>
      </c>
      <c r="BK109" s="111" t="str">
        <f t="shared" si="80"/>
        <v>--</v>
      </c>
      <c r="BL109" s="111" t="str">
        <f t="shared" si="80"/>
        <v>--</v>
      </c>
    </row>
    <row r="110" spans="4:64">
      <c r="D110" s="111" t="str">
        <f t="shared" ref="D110:U110" si="81">IF($B$80=FALSE,"--",D89-D100)</f>
        <v>--</v>
      </c>
      <c r="E110" s="111" t="str">
        <f t="shared" si="81"/>
        <v>--</v>
      </c>
      <c r="F110" s="111" t="str">
        <f t="shared" si="81"/>
        <v>--</v>
      </c>
      <c r="G110" s="111" t="str">
        <f t="shared" si="81"/>
        <v>--</v>
      </c>
      <c r="H110" s="111" t="str">
        <f t="shared" si="81"/>
        <v>--</v>
      </c>
      <c r="I110" s="111" t="str">
        <f t="shared" si="81"/>
        <v>--</v>
      </c>
      <c r="J110" s="111" t="str">
        <f t="shared" si="81"/>
        <v>--</v>
      </c>
      <c r="K110" s="111" t="str">
        <f t="shared" si="81"/>
        <v>--</v>
      </c>
      <c r="L110" s="111" t="str">
        <f t="shared" si="81"/>
        <v>--</v>
      </c>
      <c r="M110" s="111" t="str">
        <f t="shared" si="81"/>
        <v>--</v>
      </c>
      <c r="N110" s="111" t="str">
        <f t="shared" si="81"/>
        <v>--</v>
      </c>
      <c r="O110" s="111" t="str">
        <f t="shared" si="81"/>
        <v>--</v>
      </c>
      <c r="P110" s="111" t="str">
        <f t="shared" si="81"/>
        <v>--</v>
      </c>
      <c r="Q110" s="111" t="str">
        <f t="shared" si="81"/>
        <v>--</v>
      </c>
      <c r="R110" s="111" t="str">
        <f t="shared" si="81"/>
        <v>--</v>
      </c>
      <c r="S110" s="111" t="str">
        <f t="shared" si="81"/>
        <v>--</v>
      </c>
      <c r="T110" s="111" t="str">
        <f t="shared" si="81"/>
        <v>--</v>
      </c>
      <c r="U110" s="111" t="str">
        <f t="shared" si="81"/>
        <v>--</v>
      </c>
      <c r="V110" s="112" t="str">
        <f t="shared" si="71"/>
        <v>--</v>
      </c>
      <c r="W110" s="111" t="str">
        <f t="shared" ref="W110:BL110" si="82">IF($B$80=FALSE,"--",W89-W100)</f>
        <v>--</v>
      </c>
      <c r="X110" s="111" t="str">
        <f t="shared" si="82"/>
        <v>--</v>
      </c>
      <c r="Y110" s="111" t="str">
        <f t="shared" si="82"/>
        <v>--</v>
      </c>
      <c r="Z110" s="111" t="str">
        <f t="shared" si="82"/>
        <v>--</v>
      </c>
      <c r="AA110" s="111" t="str">
        <f t="shared" si="82"/>
        <v>--</v>
      </c>
      <c r="AB110" s="111" t="str">
        <f t="shared" si="82"/>
        <v>--</v>
      </c>
      <c r="AC110" s="111" t="str">
        <f t="shared" si="82"/>
        <v>--</v>
      </c>
      <c r="AD110" s="111" t="str">
        <f t="shared" si="82"/>
        <v>--</v>
      </c>
      <c r="AE110" s="111" t="str">
        <f t="shared" si="82"/>
        <v>--</v>
      </c>
      <c r="AF110" s="111" t="str">
        <f t="shared" si="82"/>
        <v>--</v>
      </c>
      <c r="AG110" s="111" t="str">
        <f t="shared" si="82"/>
        <v>--</v>
      </c>
      <c r="AH110" s="111" t="str">
        <f t="shared" si="82"/>
        <v>--</v>
      </c>
      <c r="AI110" s="111" t="str">
        <f t="shared" si="82"/>
        <v>--</v>
      </c>
      <c r="AJ110" s="111" t="str">
        <f t="shared" si="82"/>
        <v>--</v>
      </c>
      <c r="AK110" s="111" t="str">
        <f t="shared" si="82"/>
        <v>--</v>
      </c>
      <c r="AL110" s="111" t="str">
        <f t="shared" si="82"/>
        <v>--</v>
      </c>
      <c r="AM110" s="111" t="str">
        <f t="shared" si="82"/>
        <v>--</v>
      </c>
      <c r="AN110" s="111" t="str">
        <f t="shared" si="82"/>
        <v>--</v>
      </c>
      <c r="AO110" s="111" t="str">
        <f t="shared" si="82"/>
        <v>--</v>
      </c>
      <c r="AP110" s="111" t="str">
        <f t="shared" si="82"/>
        <v>--</v>
      </c>
      <c r="AQ110" s="111" t="str">
        <f t="shared" si="82"/>
        <v>--</v>
      </c>
      <c r="AR110" s="111" t="str">
        <f t="shared" si="82"/>
        <v>--</v>
      </c>
      <c r="AS110" s="111" t="str">
        <f t="shared" si="82"/>
        <v>--</v>
      </c>
      <c r="AT110" s="111" t="str">
        <f t="shared" si="82"/>
        <v>--</v>
      </c>
      <c r="AU110" s="111" t="str">
        <f t="shared" si="82"/>
        <v>--</v>
      </c>
      <c r="AV110" s="111" t="str">
        <f t="shared" si="82"/>
        <v>--</v>
      </c>
      <c r="AW110" s="111" t="str">
        <f t="shared" si="82"/>
        <v>--</v>
      </c>
      <c r="AX110" s="111" t="str">
        <f t="shared" si="82"/>
        <v>--</v>
      </c>
      <c r="AY110" s="111" t="str">
        <f t="shared" si="82"/>
        <v>--</v>
      </c>
      <c r="AZ110" s="111" t="str">
        <f t="shared" si="82"/>
        <v>--</v>
      </c>
      <c r="BA110" s="111" t="str">
        <f t="shared" si="82"/>
        <v>--</v>
      </c>
      <c r="BB110" s="111" t="str">
        <f t="shared" si="82"/>
        <v>--</v>
      </c>
      <c r="BC110" s="111" t="str">
        <f t="shared" si="82"/>
        <v>--</v>
      </c>
      <c r="BD110" s="111" t="str">
        <f t="shared" si="82"/>
        <v>--</v>
      </c>
      <c r="BE110" s="111" t="str">
        <f t="shared" si="82"/>
        <v>--</v>
      </c>
      <c r="BF110" s="111" t="str">
        <f t="shared" si="82"/>
        <v>--</v>
      </c>
      <c r="BG110" s="111" t="str">
        <f t="shared" si="82"/>
        <v>--</v>
      </c>
      <c r="BH110" s="111" t="str">
        <f t="shared" si="82"/>
        <v>--</v>
      </c>
      <c r="BI110" s="111" t="str">
        <f t="shared" si="82"/>
        <v>--</v>
      </c>
      <c r="BJ110" s="111" t="str">
        <f t="shared" si="82"/>
        <v>--</v>
      </c>
      <c r="BK110" s="111" t="str">
        <f t="shared" si="82"/>
        <v>--</v>
      </c>
      <c r="BL110" s="111" t="str">
        <f t="shared" si="82"/>
        <v>--</v>
      </c>
    </row>
    <row r="111" spans="4:64">
      <c r="D111" s="111" t="str">
        <f t="shared" ref="D111:U111" si="83">IF($B$80=FALSE,"--",D90-D101)</f>
        <v>--</v>
      </c>
      <c r="E111" s="111" t="str">
        <f t="shared" si="83"/>
        <v>--</v>
      </c>
      <c r="F111" s="111" t="str">
        <f t="shared" si="83"/>
        <v>--</v>
      </c>
      <c r="G111" s="111" t="str">
        <f t="shared" si="83"/>
        <v>--</v>
      </c>
      <c r="H111" s="111" t="str">
        <f t="shared" si="83"/>
        <v>--</v>
      </c>
      <c r="I111" s="111" t="str">
        <f t="shared" si="83"/>
        <v>--</v>
      </c>
      <c r="J111" s="111" t="str">
        <f t="shared" si="83"/>
        <v>--</v>
      </c>
      <c r="K111" s="111" t="str">
        <f t="shared" si="83"/>
        <v>--</v>
      </c>
      <c r="L111" s="111" t="str">
        <f t="shared" si="83"/>
        <v>--</v>
      </c>
      <c r="M111" s="111" t="str">
        <f t="shared" si="83"/>
        <v>--</v>
      </c>
      <c r="N111" s="111" t="str">
        <f t="shared" si="83"/>
        <v>--</v>
      </c>
      <c r="O111" s="111" t="str">
        <f t="shared" si="83"/>
        <v>--</v>
      </c>
      <c r="P111" s="111" t="str">
        <f t="shared" si="83"/>
        <v>--</v>
      </c>
      <c r="Q111" s="111" t="str">
        <f t="shared" si="83"/>
        <v>--</v>
      </c>
      <c r="R111" s="111" t="str">
        <f t="shared" si="83"/>
        <v>--</v>
      </c>
      <c r="S111" s="111" t="str">
        <f t="shared" si="83"/>
        <v>--</v>
      </c>
      <c r="T111" s="111" t="str">
        <f t="shared" si="83"/>
        <v>--</v>
      </c>
      <c r="U111" s="111" t="str">
        <f t="shared" si="83"/>
        <v>--</v>
      </c>
      <c r="V111" s="112" t="str">
        <f t="shared" si="71"/>
        <v>--</v>
      </c>
      <c r="W111" s="111" t="str">
        <f t="shared" ref="W111:BL111" si="84">IF($B$80=FALSE,"--",W90-W101)</f>
        <v>--</v>
      </c>
      <c r="X111" s="111" t="str">
        <f t="shared" si="84"/>
        <v>--</v>
      </c>
      <c r="Y111" s="111" t="str">
        <f t="shared" si="84"/>
        <v>--</v>
      </c>
      <c r="Z111" s="111" t="str">
        <f t="shared" si="84"/>
        <v>--</v>
      </c>
      <c r="AA111" s="111" t="str">
        <f t="shared" si="84"/>
        <v>--</v>
      </c>
      <c r="AB111" s="111" t="str">
        <f t="shared" si="84"/>
        <v>--</v>
      </c>
      <c r="AC111" s="111" t="str">
        <f t="shared" si="84"/>
        <v>--</v>
      </c>
      <c r="AD111" s="111" t="str">
        <f t="shared" si="84"/>
        <v>--</v>
      </c>
      <c r="AE111" s="111" t="str">
        <f t="shared" si="84"/>
        <v>--</v>
      </c>
      <c r="AF111" s="111" t="str">
        <f t="shared" si="84"/>
        <v>--</v>
      </c>
      <c r="AG111" s="111" t="str">
        <f t="shared" si="84"/>
        <v>--</v>
      </c>
      <c r="AH111" s="111" t="str">
        <f t="shared" si="84"/>
        <v>--</v>
      </c>
      <c r="AI111" s="111" t="str">
        <f t="shared" si="84"/>
        <v>--</v>
      </c>
      <c r="AJ111" s="111" t="str">
        <f t="shared" si="84"/>
        <v>--</v>
      </c>
      <c r="AK111" s="111" t="str">
        <f t="shared" si="84"/>
        <v>--</v>
      </c>
      <c r="AL111" s="111" t="str">
        <f t="shared" si="84"/>
        <v>--</v>
      </c>
      <c r="AM111" s="111" t="str">
        <f t="shared" si="84"/>
        <v>--</v>
      </c>
      <c r="AN111" s="111" t="str">
        <f t="shared" si="84"/>
        <v>--</v>
      </c>
      <c r="AO111" s="111" t="str">
        <f t="shared" si="84"/>
        <v>--</v>
      </c>
      <c r="AP111" s="111" t="str">
        <f t="shared" si="84"/>
        <v>--</v>
      </c>
      <c r="AQ111" s="111" t="str">
        <f t="shared" si="84"/>
        <v>--</v>
      </c>
      <c r="AR111" s="111" t="str">
        <f t="shared" si="84"/>
        <v>--</v>
      </c>
      <c r="AS111" s="111" t="str">
        <f t="shared" si="84"/>
        <v>--</v>
      </c>
      <c r="AT111" s="111" t="str">
        <f t="shared" si="84"/>
        <v>--</v>
      </c>
      <c r="AU111" s="111" t="str">
        <f t="shared" si="84"/>
        <v>--</v>
      </c>
      <c r="AV111" s="111" t="str">
        <f t="shared" si="84"/>
        <v>--</v>
      </c>
      <c r="AW111" s="111" t="str">
        <f t="shared" si="84"/>
        <v>--</v>
      </c>
      <c r="AX111" s="111" t="str">
        <f t="shared" si="84"/>
        <v>--</v>
      </c>
      <c r="AY111" s="111" t="str">
        <f t="shared" si="84"/>
        <v>--</v>
      </c>
      <c r="AZ111" s="111" t="str">
        <f t="shared" si="84"/>
        <v>--</v>
      </c>
      <c r="BA111" s="111" t="str">
        <f t="shared" si="84"/>
        <v>--</v>
      </c>
      <c r="BB111" s="111" t="str">
        <f t="shared" si="84"/>
        <v>--</v>
      </c>
      <c r="BC111" s="111" t="str">
        <f t="shared" si="84"/>
        <v>--</v>
      </c>
      <c r="BD111" s="111" t="str">
        <f t="shared" si="84"/>
        <v>--</v>
      </c>
      <c r="BE111" s="111" t="str">
        <f t="shared" si="84"/>
        <v>--</v>
      </c>
      <c r="BF111" s="111" t="str">
        <f t="shared" si="84"/>
        <v>--</v>
      </c>
      <c r="BG111" s="111" t="str">
        <f t="shared" si="84"/>
        <v>--</v>
      </c>
      <c r="BH111" s="111" t="str">
        <f t="shared" si="84"/>
        <v>--</v>
      </c>
      <c r="BI111" s="111" t="str">
        <f t="shared" si="84"/>
        <v>--</v>
      </c>
      <c r="BJ111" s="111" t="str">
        <f t="shared" si="84"/>
        <v>--</v>
      </c>
      <c r="BK111" s="111" t="str">
        <f t="shared" si="84"/>
        <v>--</v>
      </c>
      <c r="BL111" s="111" t="str">
        <f t="shared" si="84"/>
        <v>--</v>
      </c>
    </row>
    <row r="112" spans="4:64">
      <c r="D112" s="111" t="str">
        <f t="shared" ref="D112:U112" si="85">IF($B$80=FALSE,"--",D91-D102)</f>
        <v>--</v>
      </c>
      <c r="E112" s="111" t="str">
        <f t="shared" si="85"/>
        <v>--</v>
      </c>
      <c r="F112" s="111" t="str">
        <f t="shared" si="85"/>
        <v>--</v>
      </c>
      <c r="G112" s="111" t="str">
        <f t="shared" si="85"/>
        <v>--</v>
      </c>
      <c r="H112" s="111" t="str">
        <f t="shared" si="85"/>
        <v>--</v>
      </c>
      <c r="I112" s="111" t="str">
        <f t="shared" si="85"/>
        <v>--</v>
      </c>
      <c r="J112" s="111" t="str">
        <f t="shared" si="85"/>
        <v>--</v>
      </c>
      <c r="K112" s="111" t="str">
        <f t="shared" si="85"/>
        <v>--</v>
      </c>
      <c r="L112" s="111" t="str">
        <f t="shared" si="85"/>
        <v>--</v>
      </c>
      <c r="M112" s="111" t="str">
        <f t="shared" si="85"/>
        <v>--</v>
      </c>
      <c r="N112" s="111" t="str">
        <f t="shared" si="85"/>
        <v>--</v>
      </c>
      <c r="O112" s="111" t="str">
        <f t="shared" si="85"/>
        <v>--</v>
      </c>
      <c r="P112" s="111" t="str">
        <f t="shared" si="85"/>
        <v>--</v>
      </c>
      <c r="Q112" s="111" t="str">
        <f t="shared" si="85"/>
        <v>--</v>
      </c>
      <c r="R112" s="111" t="str">
        <f t="shared" si="85"/>
        <v>--</v>
      </c>
      <c r="S112" s="111" t="str">
        <f t="shared" si="85"/>
        <v>--</v>
      </c>
      <c r="T112" s="111" t="str">
        <f t="shared" si="85"/>
        <v>--</v>
      </c>
      <c r="U112" s="111" t="str">
        <f t="shared" si="85"/>
        <v>--</v>
      </c>
      <c r="V112" s="112" t="str">
        <f t="shared" si="71"/>
        <v>--</v>
      </c>
      <c r="W112" s="111" t="str">
        <f t="shared" ref="W112:BL112" si="86">IF($B$80=FALSE,"--",W91-W102)</f>
        <v>--</v>
      </c>
      <c r="X112" s="111" t="str">
        <f t="shared" si="86"/>
        <v>--</v>
      </c>
      <c r="Y112" s="111" t="str">
        <f t="shared" si="86"/>
        <v>--</v>
      </c>
      <c r="Z112" s="111" t="str">
        <f t="shared" si="86"/>
        <v>--</v>
      </c>
      <c r="AA112" s="111" t="str">
        <f t="shared" si="86"/>
        <v>--</v>
      </c>
      <c r="AB112" s="111" t="str">
        <f t="shared" si="86"/>
        <v>--</v>
      </c>
      <c r="AC112" s="111" t="str">
        <f t="shared" si="86"/>
        <v>--</v>
      </c>
      <c r="AD112" s="111" t="str">
        <f t="shared" si="86"/>
        <v>--</v>
      </c>
      <c r="AE112" s="111" t="str">
        <f t="shared" si="86"/>
        <v>--</v>
      </c>
      <c r="AF112" s="111" t="str">
        <f t="shared" si="86"/>
        <v>--</v>
      </c>
      <c r="AG112" s="111" t="str">
        <f t="shared" si="86"/>
        <v>--</v>
      </c>
      <c r="AH112" s="111" t="str">
        <f t="shared" si="86"/>
        <v>--</v>
      </c>
      <c r="AI112" s="111" t="str">
        <f t="shared" si="86"/>
        <v>--</v>
      </c>
      <c r="AJ112" s="111" t="str">
        <f t="shared" si="86"/>
        <v>--</v>
      </c>
      <c r="AK112" s="111" t="str">
        <f t="shared" si="86"/>
        <v>--</v>
      </c>
      <c r="AL112" s="111" t="str">
        <f t="shared" si="86"/>
        <v>--</v>
      </c>
      <c r="AM112" s="111" t="str">
        <f t="shared" si="86"/>
        <v>--</v>
      </c>
      <c r="AN112" s="111" t="str">
        <f t="shared" si="86"/>
        <v>--</v>
      </c>
      <c r="AO112" s="111" t="str">
        <f t="shared" si="86"/>
        <v>--</v>
      </c>
      <c r="AP112" s="111" t="str">
        <f t="shared" si="86"/>
        <v>--</v>
      </c>
      <c r="AQ112" s="111" t="str">
        <f t="shared" si="86"/>
        <v>--</v>
      </c>
      <c r="AR112" s="111" t="str">
        <f t="shared" si="86"/>
        <v>--</v>
      </c>
      <c r="AS112" s="111" t="str">
        <f t="shared" si="86"/>
        <v>--</v>
      </c>
      <c r="AT112" s="111" t="str">
        <f t="shared" si="86"/>
        <v>--</v>
      </c>
      <c r="AU112" s="111" t="str">
        <f t="shared" si="86"/>
        <v>--</v>
      </c>
      <c r="AV112" s="111" t="str">
        <f t="shared" si="86"/>
        <v>--</v>
      </c>
      <c r="AW112" s="111" t="str">
        <f t="shared" si="86"/>
        <v>--</v>
      </c>
      <c r="AX112" s="111" t="str">
        <f t="shared" si="86"/>
        <v>--</v>
      </c>
      <c r="AY112" s="111" t="str">
        <f t="shared" si="86"/>
        <v>--</v>
      </c>
      <c r="AZ112" s="111" t="str">
        <f t="shared" si="86"/>
        <v>--</v>
      </c>
      <c r="BA112" s="111" t="str">
        <f t="shared" si="86"/>
        <v>--</v>
      </c>
      <c r="BB112" s="111" t="str">
        <f t="shared" si="86"/>
        <v>--</v>
      </c>
      <c r="BC112" s="111" t="str">
        <f t="shared" si="86"/>
        <v>--</v>
      </c>
      <c r="BD112" s="111" t="str">
        <f t="shared" si="86"/>
        <v>--</v>
      </c>
      <c r="BE112" s="111" t="str">
        <f t="shared" si="86"/>
        <v>--</v>
      </c>
      <c r="BF112" s="111" t="str">
        <f t="shared" si="86"/>
        <v>--</v>
      </c>
      <c r="BG112" s="111" t="str">
        <f t="shared" si="86"/>
        <v>--</v>
      </c>
      <c r="BH112" s="111" t="str">
        <f t="shared" si="86"/>
        <v>--</v>
      </c>
      <c r="BI112" s="111" t="str">
        <f t="shared" si="86"/>
        <v>--</v>
      </c>
      <c r="BJ112" s="111" t="str">
        <f t="shared" si="86"/>
        <v>--</v>
      </c>
      <c r="BK112" s="111" t="str">
        <f t="shared" si="86"/>
        <v>--</v>
      </c>
      <c r="BL112" s="111" t="str">
        <f t="shared" si="86"/>
        <v>--</v>
      </c>
    </row>
    <row r="113" spans="4:64">
      <c r="D113" s="111" t="str">
        <f t="shared" ref="D113:U113" si="87">IF($B$80=FALSE,"--",D92-D103)</f>
        <v>--</v>
      </c>
      <c r="E113" s="111" t="str">
        <f t="shared" si="87"/>
        <v>--</v>
      </c>
      <c r="F113" s="111" t="str">
        <f t="shared" si="87"/>
        <v>--</v>
      </c>
      <c r="G113" s="111" t="str">
        <f t="shared" si="87"/>
        <v>--</v>
      </c>
      <c r="H113" s="111" t="str">
        <f t="shared" si="87"/>
        <v>--</v>
      </c>
      <c r="I113" s="111" t="str">
        <f t="shared" si="87"/>
        <v>--</v>
      </c>
      <c r="J113" s="111" t="str">
        <f t="shared" si="87"/>
        <v>--</v>
      </c>
      <c r="K113" s="111" t="str">
        <f t="shared" si="87"/>
        <v>--</v>
      </c>
      <c r="L113" s="111" t="str">
        <f t="shared" si="87"/>
        <v>--</v>
      </c>
      <c r="M113" s="111" t="str">
        <f t="shared" si="87"/>
        <v>--</v>
      </c>
      <c r="N113" s="111" t="str">
        <f t="shared" si="87"/>
        <v>--</v>
      </c>
      <c r="O113" s="111" t="str">
        <f t="shared" si="87"/>
        <v>--</v>
      </c>
      <c r="P113" s="111" t="str">
        <f t="shared" si="87"/>
        <v>--</v>
      </c>
      <c r="Q113" s="111" t="str">
        <f t="shared" si="87"/>
        <v>--</v>
      </c>
      <c r="R113" s="111" t="str">
        <f t="shared" si="87"/>
        <v>--</v>
      </c>
      <c r="S113" s="111" t="str">
        <f t="shared" si="87"/>
        <v>--</v>
      </c>
      <c r="T113" s="111" t="str">
        <f t="shared" si="87"/>
        <v>--</v>
      </c>
      <c r="U113" s="111" t="str">
        <f t="shared" si="87"/>
        <v>--</v>
      </c>
      <c r="V113" s="112" t="str">
        <f t="shared" si="71"/>
        <v>--</v>
      </c>
      <c r="W113" s="111" t="str">
        <f t="shared" ref="W113:BL113" si="88">IF($B$80=FALSE,"--",W92-W103)</f>
        <v>--</v>
      </c>
      <c r="X113" s="111" t="str">
        <f t="shared" si="88"/>
        <v>--</v>
      </c>
      <c r="Y113" s="111" t="str">
        <f t="shared" si="88"/>
        <v>--</v>
      </c>
      <c r="Z113" s="111" t="str">
        <f t="shared" si="88"/>
        <v>--</v>
      </c>
      <c r="AA113" s="111" t="str">
        <f t="shared" si="88"/>
        <v>--</v>
      </c>
      <c r="AB113" s="111" t="str">
        <f t="shared" si="88"/>
        <v>--</v>
      </c>
      <c r="AC113" s="111" t="str">
        <f t="shared" si="88"/>
        <v>--</v>
      </c>
      <c r="AD113" s="111" t="str">
        <f t="shared" si="88"/>
        <v>--</v>
      </c>
      <c r="AE113" s="111" t="str">
        <f t="shared" si="88"/>
        <v>--</v>
      </c>
      <c r="AF113" s="111" t="str">
        <f t="shared" si="88"/>
        <v>--</v>
      </c>
      <c r="AG113" s="111" t="str">
        <f t="shared" si="88"/>
        <v>--</v>
      </c>
      <c r="AH113" s="111" t="str">
        <f t="shared" si="88"/>
        <v>--</v>
      </c>
      <c r="AI113" s="111" t="str">
        <f t="shared" si="88"/>
        <v>--</v>
      </c>
      <c r="AJ113" s="111" t="str">
        <f t="shared" si="88"/>
        <v>--</v>
      </c>
      <c r="AK113" s="111" t="str">
        <f t="shared" si="88"/>
        <v>--</v>
      </c>
      <c r="AL113" s="111" t="str">
        <f t="shared" si="88"/>
        <v>--</v>
      </c>
      <c r="AM113" s="111" t="str">
        <f t="shared" si="88"/>
        <v>--</v>
      </c>
      <c r="AN113" s="111" t="str">
        <f t="shared" si="88"/>
        <v>--</v>
      </c>
      <c r="AO113" s="111" t="str">
        <f t="shared" si="88"/>
        <v>--</v>
      </c>
      <c r="AP113" s="111" t="str">
        <f t="shared" si="88"/>
        <v>--</v>
      </c>
      <c r="AQ113" s="111" t="str">
        <f t="shared" si="88"/>
        <v>--</v>
      </c>
      <c r="AR113" s="111" t="str">
        <f t="shared" si="88"/>
        <v>--</v>
      </c>
      <c r="AS113" s="111" t="str">
        <f t="shared" si="88"/>
        <v>--</v>
      </c>
      <c r="AT113" s="111" t="str">
        <f t="shared" si="88"/>
        <v>--</v>
      </c>
      <c r="AU113" s="111" t="str">
        <f t="shared" si="88"/>
        <v>--</v>
      </c>
      <c r="AV113" s="111" t="str">
        <f t="shared" si="88"/>
        <v>--</v>
      </c>
      <c r="AW113" s="111" t="str">
        <f t="shared" si="88"/>
        <v>--</v>
      </c>
      <c r="AX113" s="111" t="str">
        <f t="shared" si="88"/>
        <v>--</v>
      </c>
      <c r="AY113" s="111" t="str">
        <f t="shared" si="88"/>
        <v>--</v>
      </c>
      <c r="AZ113" s="111" t="str">
        <f t="shared" si="88"/>
        <v>--</v>
      </c>
      <c r="BA113" s="111" t="str">
        <f t="shared" si="88"/>
        <v>--</v>
      </c>
      <c r="BB113" s="111" t="str">
        <f t="shared" si="88"/>
        <v>--</v>
      </c>
      <c r="BC113" s="111" t="str">
        <f t="shared" si="88"/>
        <v>--</v>
      </c>
      <c r="BD113" s="111" t="str">
        <f t="shared" si="88"/>
        <v>--</v>
      </c>
      <c r="BE113" s="111" t="str">
        <f t="shared" si="88"/>
        <v>--</v>
      </c>
      <c r="BF113" s="111" t="str">
        <f t="shared" si="88"/>
        <v>--</v>
      </c>
      <c r="BG113" s="111" t="str">
        <f t="shared" si="88"/>
        <v>--</v>
      </c>
      <c r="BH113" s="111" t="str">
        <f t="shared" si="88"/>
        <v>--</v>
      </c>
      <c r="BI113" s="111" t="str">
        <f t="shared" si="88"/>
        <v>--</v>
      </c>
      <c r="BJ113" s="111" t="str">
        <f t="shared" si="88"/>
        <v>--</v>
      </c>
      <c r="BK113" s="111" t="str">
        <f t="shared" si="88"/>
        <v>--</v>
      </c>
      <c r="BL113" s="111" t="str">
        <f t="shared" si="88"/>
        <v>--</v>
      </c>
    </row>
  </sheetData>
  <dataValidations count="1">
    <dataValidation type="list" allowBlank="1" showInputMessage="1" showErrorMessage="1" sqref="B80 B82">
      <formula1>"TRUE, FALSE"</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139"/>
  <sheetViews>
    <sheetView zoomScale="115" zoomScaleNormal="115" workbookViewId="0">
      <selection activeCell="F2" sqref="F2"/>
    </sheetView>
  </sheetViews>
  <sheetFormatPr defaultColWidth="8.86328125" defaultRowHeight="14.25"/>
  <cols>
    <col min="1" max="1" width="20.73046875" style="115" customWidth="1"/>
    <col min="2" max="5" width="20.73046875" customWidth="1"/>
    <col min="6" max="6" width="20.86328125" customWidth="1"/>
    <col min="9" max="9" width="12" bestFit="1" customWidth="1"/>
  </cols>
  <sheetData>
    <row r="1" spans="1:9">
      <c r="A1" s="118" t="s">
        <v>99</v>
      </c>
      <c r="B1" s="118" t="s">
        <v>100</v>
      </c>
      <c r="C1" s="118" t="s">
        <v>101</v>
      </c>
      <c r="D1" s="118" t="s">
        <v>102</v>
      </c>
      <c r="E1" s="118" t="s">
        <v>103</v>
      </c>
      <c r="F1" s="118" t="s">
        <v>104</v>
      </c>
      <c r="G1" s="118"/>
    </row>
    <row r="2" spans="1:9">
      <c r="A2" s="115">
        <v>2</v>
      </c>
      <c r="B2" t="s">
        <v>555</v>
      </c>
      <c r="C2" t="s">
        <v>105</v>
      </c>
      <c r="D2" t="s">
        <v>106</v>
      </c>
      <c r="E2">
        <v>0.21624219125420471</v>
      </c>
      <c r="F2" t="s">
        <v>107</v>
      </c>
    </row>
    <row r="3" spans="1:9">
      <c r="A3" s="115">
        <v>3</v>
      </c>
      <c r="B3" t="s">
        <v>555</v>
      </c>
      <c r="C3" t="s">
        <v>108</v>
      </c>
      <c r="D3" t="s">
        <v>109</v>
      </c>
      <c r="E3">
        <v>0.27531131564699513</v>
      </c>
      <c r="F3" t="s">
        <v>110</v>
      </c>
    </row>
    <row r="4" spans="1:9">
      <c r="A4" s="115">
        <v>4</v>
      </c>
      <c r="B4" t="s">
        <v>555</v>
      </c>
      <c r="C4" t="s">
        <v>111</v>
      </c>
      <c r="D4" t="s">
        <v>112</v>
      </c>
      <c r="E4">
        <v>0.24252223120452709</v>
      </c>
      <c r="F4" t="s">
        <v>113</v>
      </c>
    </row>
    <row r="5" spans="1:9">
      <c r="A5" s="115">
        <v>5</v>
      </c>
      <c r="B5" t="s">
        <v>555</v>
      </c>
      <c r="C5" t="s">
        <v>114</v>
      </c>
      <c r="D5" t="s">
        <v>115</v>
      </c>
      <c r="E5">
        <v>0.27405012126111561</v>
      </c>
      <c r="F5" t="s">
        <v>116</v>
      </c>
    </row>
    <row r="6" spans="1:9">
      <c r="A6" s="115">
        <v>6</v>
      </c>
      <c r="B6" t="s">
        <v>555</v>
      </c>
      <c r="C6" t="s">
        <v>117</v>
      </c>
      <c r="D6" t="s">
        <v>118</v>
      </c>
      <c r="E6">
        <v>0.23240244835501148</v>
      </c>
      <c r="F6" t="s">
        <v>119</v>
      </c>
    </row>
    <row r="7" spans="1:9">
      <c r="A7" s="115">
        <v>7</v>
      </c>
      <c r="B7" t="s">
        <v>555</v>
      </c>
      <c r="C7" t="s">
        <v>120</v>
      </c>
      <c r="D7" t="s">
        <v>121</v>
      </c>
      <c r="E7">
        <v>1.7357142857142856E-2</v>
      </c>
      <c r="F7" t="s">
        <v>122</v>
      </c>
    </row>
    <row r="8" spans="1:9">
      <c r="A8" s="115">
        <v>8</v>
      </c>
      <c r="B8" t="s">
        <v>555</v>
      </c>
      <c r="C8" t="s">
        <v>123</v>
      </c>
      <c r="D8" t="s">
        <v>124</v>
      </c>
      <c r="E8">
        <v>0.87993920972644379</v>
      </c>
      <c r="F8" t="s">
        <v>125</v>
      </c>
    </row>
    <row r="9" spans="1:9">
      <c r="A9" s="115">
        <v>9</v>
      </c>
      <c r="B9" t="s">
        <v>555</v>
      </c>
      <c r="C9" t="s">
        <v>126</v>
      </c>
      <c r="D9" t="s">
        <v>127</v>
      </c>
      <c r="E9">
        <v>0.64244186046511631</v>
      </c>
      <c r="F9" t="s">
        <v>128</v>
      </c>
    </row>
    <row r="10" spans="1:9">
      <c r="A10" s="115">
        <v>10</v>
      </c>
      <c r="B10" t="s">
        <v>555</v>
      </c>
      <c r="C10" t="s">
        <v>129</v>
      </c>
      <c r="D10" t="s">
        <v>130</v>
      </c>
      <c r="E10">
        <v>0.27531131564699513</v>
      </c>
      <c r="F10" t="s">
        <v>131</v>
      </c>
    </row>
    <row r="11" spans="1:9">
      <c r="A11" s="115">
        <v>11</v>
      </c>
      <c r="B11" t="s">
        <v>555</v>
      </c>
      <c r="C11" t="s">
        <v>132</v>
      </c>
      <c r="D11" t="s">
        <v>133</v>
      </c>
      <c r="E11" s="77">
        <v>8905.43</v>
      </c>
      <c r="F11" t="s">
        <v>134</v>
      </c>
    </row>
    <row r="12" spans="1:9">
      <c r="A12" s="115">
        <v>12</v>
      </c>
      <c r="B12" t="s">
        <v>555</v>
      </c>
      <c r="C12" t="s">
        <v>135</v>
      </c>
      <c r="D12" t="s">
        <v>136</v>
      </c>
      <c r="E12" s="77">
        <v>0</v>
      </c>
      <c r="F12" t="s">
        <v>137</v>
      </c>
      <c r="I12" s="77"/>
    </row>
    <row r="13" spans="1:9">
      <c r="A13" s="115">
        <v>13</v>
      </c>
      <c r="B13" t="s">
        <v>555</v>
      </c>
      <c r="C13" t="s">
        <v>138</v>
      </c>
      <c r="D13" t="s">
        <v>139</v>
      </c>
      <c r="E13" s="77">
        <v>70000</v>
      </c>
      <c r="F13" t="s">
        <v>140</v>
      </c>
      <c r="I13" s="77"/>
    </row>
    <row r="14" spans="1:9">
      <c r="A14" s="115">
        <v>14</v>
      </c>
      <c r="B14" t="s">
        <v>555</v>
      </c>
      <c r="C14" t="s">
        <v>141</v>
      </c>
      <c r="D14" t="s">
        <v>142</v>
      </c>
      <c r="E14" s="77">
        <v>60797.57</v>
      </c>
      <c r="F14" t="s">
        <v>143</v>
      </c>
      <c r="I14" s="77"/>
    </row>
    <row r="15" spans="1:9">
      <c r="A15" s="115">
        <v>15</v>
      </c>
      <c r="B15" t="s">
        <v>555</v>
      </c>
      <c r="C15" t="s">
        <v>576</v>
      </c>
      <c r="D15" t="s">
        <v>577</v>
      </c>
      <c r="E15" s="77">
        <v>0</v>
      </c>
      <c r="F15" t="s">
        <v>578</v>
      </c>
      <c r="I15" s="77"/>
    </row>
    <row r="16" spans="1:9">
      <c r="A16" s="115">
        <v>16</v>
      </c>
      <c r="B16" t="s">
        <v>555</v>
      </c>
      <c r="C16" t="s">
        <v>144</v>
      </c>
      <c r="D16" t="s">
        <v>145</v>
      </c>
      <c r="E16" s="77">
        <v>69703</v>
      </c>
      <c r="F16" t="s">
        <v>146</v>
      </c>
      <c r="I16" s="77"/>
    </row>
    <row r="17" spans="1:9">
      <c r="A17" s="115">
        <v>17</v>
      </c>
      <c r="B17" t="s">
        <v>555</v>
      </c>
      <c r="C17" t="s">
        <v>147</v>
      </c>
      <c r="D17" t="s">
        <v>148</v>
      </c>
      <c r="E17" s="77">
        <v>69703</v>
      </c>
      <c r="F17" t="s">
        <v>149</v>
      </c>
      <c r="I17" s="77"/>
    </row>
    <row r="18" spans="1:9">
      <c r="A18" s="115">
        <v>18</v>
      </c>
      <c r="B18" t="s">
        <v>555</v>
      </c>
      <c r="C18" t="s">
        <v>150</v>
      </c>
      <c r="D18" t="s">
        <v>151</v>
      </c>
      <c r="E18" s="77">
        <v>0</v>
      </c>
      <c r="F18" t="s">
        <v>152</v>
      </c>
      <c r="I18" s="77"/>
    </row>
    <row r="19" spans="1:9">
      <c r="A19" s="115">
        <v>19</v>
      </c>
      <c r="B19" t="s">
        <v>555</v>
      </c>
      <c r="C19" t="s">
        <v>153</v>
      </c>
      <c r="D19" t="s">
        <v>154</v>
      </c>
      <c r="E19" s="77">
        <v>70000</v>
      </c>
      <c r="F19" t="s">
        <v>155</v>
      </c>
      <c r="I19" s="77"/>
    </row>
    <row r="20" spans="1:9">
      <c r="A20" s="115">
        <v>20</v>
      </c>
      <c r="B20" t="s">
        <v>555</v>
      </c>
      <c r="C20" t="s">
        <v>156</v>
      </c>
      <c r="D20" t="s">
        <v>157</v>
      </c>
      <c r="E20" s="77">
        <v>60797.57</v>
      </c>
      <c r="F20" t="s">
        <v>158</v>
      </c>
      <c r="I20" s="77"/>
    </row>
    <row r="21" spans="1:9">
      <c r="A21" s="115">
        <v>21</v>
      </c>
      <c r="B21" t="s">
        <v>555</v>
      </c>
      <c r="C21" t="s">
        <v>159</v>
      </c>
      <c r="D21" t="s">
        <v>160</v>
      </c>
      <c r="E21" s="77">
        <v>60797.57</v>
      </c>
      <c r="F21" t="s">
        <v>161</v>
      </c>
      <c r="I21" s="77"/>
    </row>
    <row r="22" spans="1:9">
      <c r="A22" s="115">
        <v>22</v>
      </c>
      <c r="B22" t="s">
        <v>555</v>
      </c>
      <c r="C22" t="s">
        <v>162</v>
      </c>
      <c r="D22" t="s">
        <v>163</v>
      </c>
      <c r="E22" s="77">
        <v>0</v>
      </c>
      <c r="F22" t="s">
        <v>164</v>
      </c>
      <c r="I22" s="77"/>
    </row>
    <row r="23" spans="1:9">
      <c r="A23" s="115">
        <v>23</v>
      </c>
      <c r="B23" t="s">
        <v>555</v>
      </c>
      <c r="C23" t="s">
        <v>165</v>
      </c>
      <c r="D23" t="s">
        <v>166</v>
      </c>
      <c r="E23">
        <v>1.0000000177561748</v>
      </c>
      <c r="F23" t="s">
        <v>167</v>
      </c>
    </row>
    <row r="24" spans="1:9">
      <c r="A24" s="115">
        <v>24</v>
      </c>
      <c r="B24" t="s">
        <v>555</v>
      </c>
      <c r="C24" t="s">
        <v>168</v>
      </c>
      <c r="D24" t="s">
        <v>169</v>
      </c>
      <c r="E24">
        <v>77.777777777777771</v>
      </c>
      <c r="F24" t="s">
        <v>170</v>
      </c>
    </row>
    <row r="25" spans="1:9">
      <c r="A25" s="115">
        <v>25</v>
      </c>
      <c r="B25" t="s">
        <v>555</v>
      </c>
      <c r="C25" t="s">
        <v>171</v>
      </c>
      <c r="D25" t="s">
        <v>172</v>
      </c>
      <c r="E25">
        <v>10.224921190893172</v>
      </c>
      <c r="F25" t="s">
        <v>173</v>
      </c>
    </row>
    <row r="26" spans="1:9">
      <c r="A26" s="115">
        <v>26</v>
      </c>
      <c r="B26" t="s">
        <v>555</v>
      </c>
      <c r="C26" t="s">
        <v>174</v>
      </c>
      <c r="D26" t="s">
        <v>175</v>
      </c>
      <c r="E26">
        <v>67.552856586884602</v>
      </c>
      <c r="F26" t="s">
        <v>176</v>
      </c>
    </row>
    <row r="27" spans="1:9">
      <c r="A27" s="115">
        <v>27</v>
      </c>
      <c r="B27" t="s">
        <v>555</v>
      </c>
      <c r="C27" t="s">
        <v>177</v>
      </c>
      <c r="D27" t="s">
        <v>178</v>
      </c>
      <c r="E27">
        <v>77.777776578297477</v>
      </c>
      <c r="F27" t="s">
        <v>179</v>
      </c>
    </row>
    <row r="28" spans="1:9">
      <c r="A28" s="115">
        <v>28</v>
      </c>
      <c r="B28" t="s">
        <v>555</v>
      </c>
      <c r="C28" t="s">
        <v>180</v>
      </c>
      <c r="D28" t="s">
        <v>181</v>
      </c>
      <c r="E28">
        <v>10.224921190893172</v>
      </c>
      <c r="F28" t="s">
        <v>182</v>
      </c>
    </row>
    <row r="29" spans="1:9">
      <c r="A29" s="115">
        <v>29</v>
      </c>
      <c r="B29" t="s">
        <v>555</v>
      </c>
      <c r="C29" t="s">
        <v>183</v>
      </c>
      <c r="D29" t="s">
        <v>184</v>
      </c>
      <c r="E29">
        <v>67.552855387404307</v>
      </c>
      <c r="F29" t="s">
        <v>185</v>
      </c>
    </row>
    <row r="30" spans="1:9">
      <c r="A30" s="115">
        <v>30</v>
      </c>
      <c r="B30" t="s">
        <v>555</v>
      </c>
      <c r="C30" t="s">
        <v>186</v>
      </c>
      <c r="D30" t="s">
        <v>187</v>
      </c>
      <c r="E30">
        <v>13.389441469013008</v>
      </c>
      <c r="F30" t="s">
        <v>188</v>
      </c>
    </row>
    <row r="31" spans="1:9">
      <c r="A31" s="115">
        <v>31</v>
      </c>
      <c r="B31" t="s">
        <v>555</v>
      </c>
      <c r="C31" t="s">
        <v>189</v>
      </c>
      <c r="D31" t="s">
        <v>190</v>
      </c>
      <c r="E31">
        <v>1.7602197918523057</v>
      </c>
      <c r="F31" t="s">
        <v>191</v>
      </c>
    </row>
    <row r="32" spans="1:9">
      <c r="A32" s="115">
        <v>32</v>
      </c>
      <c r="B32" t="s">
        <v>555</v>
      </c>
      <c r="C32" t="s">
        <v>192</v>
      </c>
      <c r="D32" t="s">
        <v>193</v>
      </c>
      <c r="E32">
        <v>11.629221677160702</v>
      </c>
      <c r="F32" t="s">
        <v>194</v>
      </c>
    </row>
    <row r="33" spans="1:6">
      <c r="A33" s="115">
        <v>33</v>
      </c>
      <c r="B33" t="s">
        <v>555</v>
      </c>
      <c r="C33" t="s">
        <v>195</v>
      </c>
      <c r="D33" t="s">
        <v>196</v>
      </c>
      <c r="E33">
        <v>13.389441262522519</v>
      </c>
      <c r="F33" t="s">
        <v>197</v>
      </c>
    </row>
    <row r="34" spans="1:6">
      <c r="A34" s="115">
        <v>34</v>
      </c>
      <c r="B34" t="s">
        <v>555</v>
      </c>
      <c r="C34" t="s">
        <v>198</v>
      </c>
      <c r="D34" t="s">
        <v>199</v>
      </c>
      <c r="E34">
        <v>1.7602197918523057</v>
      </c>
      <c r="F34" t="s">
        <v>200</v>
      </c>
    </row>
    <row r="35" spans="1:6">
      <c r="A35" s="115">
        <v>35</v>
      </c>
      <c r="B35" t="s">
        <v>555</v>
      </c>
      <c r="C35" t="s">
        <v>201</v>
      </c>
      <c r="D35" t="s">
        <v>202</v>
      </c>
      <c r="E35">
        <v>11.629221470670213</v>
      </c>
      <c r="F35" t="s">
        <v>203</v>
      </c>
    </row>
    <row r="36" spans="1:6">
      <c r="A36" s="115">
        <v>36</v>
      </c>
      <c r="B36" t="s">
        <v>555</v>
      </c>
      <c r="C36" t="s">
        <v>204</v>
      </c>
      <c r="D36" t="s">
        <v>205</v>
      </c>
      <c r="E36">
        <v>18.862840204796552</v>
      </c>
      <c r="F36" t="s">
        <v>206</v>
      </c>
    </row>
    <row r="37" spans="1:6">
      <c r="A37" s="115">
        <v>37</v>
      </c>
      <c r="B37" t="s">
        <v>555</v>
      </c>
      <c r="C37" t="s">
        <v>207</v>
      </c>
      <c r="D37" t="s">
        <v>208</v>
      </c>
      <c r="E37">
        <v>2.3997383648083681</v>
      </c>
      <c r="F37" t="s">
        <v>209</v>
      </c>
    </row>
    <row r="38" spans="1:6">
      <c r="A38" s="115">
        <v>38</v>
      </c>
      <c r="B38" t="s">
        <v>555</v>
      </c>
      <c r="C38" t="s">
        <v>210</v>
      </c>
      <c r="D38" t="s">
        <v>211</v>
      </c>
      <c r="E38">
        <v>16.463101839988184</v>
      </c>
      <c r="F38" t="s">
        <v>212</v>
      </c>
    </row>
    <row r="39" spans="1:6">
      <c r="A39" s="115">
        <v>39</v>
      </c>
      <c r="B39" t="s">
        <v>555</v>
      </c>
      <c r="C39" t="s">
        <v>213</v>
      </c>
      <c r="D39" t="s">
        <v>214</v>
      </c>
      <c r="E39">
        <v>18.782807577598415</v>
      </c>
      <c r="F39" t="s">
        <v>215</v>
      </c>
    </row>
    <row r="40" spans="1:6">
      <c r="A40" s="115">
        <v>40</v>
      </c>
      <c r="B40" t="s">
        <v>555</v>
      </c>
      <c r="C40" t="s">
        <v>216</v>
      </c>
      <c r="D40" t="s">
        <v>217</v>
      </c>
      <c r="E40">
        <v>2.3997383648083681</v>
      </c>
      <c r="F40" t="s">
        <v>218</v>
      </c>
    </row>
    <row r="41" spans="1:6">
      <c r="A41" s="115">
        <v>41</v>
      </c>
      <c r="B41" t="s">
        <v>555</v>
      </c>
      <c r="C41" t="s">
        <v>219</v>
      </c>
      <c r="D41" t="s">
        <v>220</v>
      </c>
      <c r="E41">
        <v>16.383069212790048</v>
      </c>
      <c r="F41" t="s">
        <v>221</v>
      </c>
    </row>
    <row r="42" spans="1:6">
      <c r="A42" s="115">
        <v>42</v>
      </c>
      <c r="B42" t="s">
        <v>555</v>
      </c>
      <c r="C42" t="s">
        <v>222</v>
      </c>
      <c r="D42" t="s">
        <v>223</v>
      </c>
      <c r="E42">
        <v>14.195903467856418</v>
      </c>
      <c r="F42" t="s">
        <v>224</v>
      </c>
    </row>
    <row r="43" spans="1:6">
      <c r="A43" s="115">
        <v>43</v>
      </c>
      <c r="B43" t="s">
        <v>555</v>
      </c>
      <c r="C43" t="s">
        <v>225</v>
      </c>
      <c r="D43" t="s">
        <v>226</v>
      </c>
      <c r="E43">
        <v>1.8060087349024243</v>
      </c>
      <c r="F43" t="s">
        <v>227</v>
      </c>
    </row>
    <row r="44" spans="1:6">
      <c r="A44" s="115">
        <v>44</v>
      </c>
      <c r="B44" t="s">
        <v>555</v>
      </c>
      <c r="C44" t="s">
        <v>228</v>
      </c>
      <c r="D44" t="s">
        <v>229</v>
      </c>
      <c r="E44">
        <v>12.389894732953994</v>
      </c>
      <c r="F44" t="s">
        <v>230</v>
      </c>
    </row>
    <row r="45" spans="1:6">
      <c r="A45" s="115">
        <v>45</v>
      </c>
      <c r="B45" t="s">
        <v>555</v>
      </c>
      <c r="C45" t="s">
        <v>231</v>
      </c>
      <c r="D45" t="s">
        <v>232</v>
      </c>
      <c r="E45">
        <v>14.135672058500857</v>
      </c>
      <c r="F45" t="s">
        <v>233</v>
      </c>
    </row>
    <row r="46" spans="1:6">
      <c r="A46" s="115">
        <v>46</v>
      </c>
      <c r="B46" t="s">
        <v>555</v>
      </c>
      <c r="C46" t="s">
        <v>234</v>
      </c>
      <c r="D46" t="s">
        <v>235</v>
      </c>
      <c r="E46">
        <v>1.8060087349024243</v>
      </c>
      <c r="F46" t="s">
        <v>236</v>
      </c>
    </row>
    <row r="47" spans="1:6">
      <c r="A47" s="115">
        <v>47</v>
      </c>
      <c r="B47" t="s">
        <v>555</v>
      </c>
      <c r="C47" t="s">
        <v>237</v>
      </c>
      <c r="D47" t="s">
        <v>238</v>
      </c>
      <c r="E47">
        <v>12.329663323598433</v>
      </c>
      <c r="F47" t="s">
        <v>239</v>
      </c>
    </row>
    <row r="48" spans="1:6">
      <c r="A48" s="115">
        <v>48</v>
      </c>
      <c r="B48" t="s">
        <v>555</v>
      </c>
      <c r="C48" t="s">
        <v>240</v>
      </c>
      <c r="D48" t="s">
        <v>241</v>
      </c>
      <c r="E48">
        <v>1</v>
      </c>
      <c r="F48" t="s">
        <v>242</v>
      </c>
    </row>
    <row r="49" spans="1:9">
      <c r="A49" s="115">
        <v>49</v>
      </c>
      <c r="B49" t="s">
        <v>555</v>
      </c>
      <c r="C49" t="s">
        <v>243</v>
      </c>
      <c r="D49" t="s">
        <v>244</v>
      </c>
      <c r="E49">
        <v>2</v>
      </c>
      <c r="F49" t="s">
        <v>245</v>
      </c>
    </row>
    <row r="50" spans="1:9">
      <c r="A50" s="115">
        <v>50</v>
      </c>
      <c r="B50" t="s">
        <v>555</v>
      </c>
      <c r="C50" t="s">
        <v>246</v>
      </c>
      <c r="D50" t="s">
        <v>247</v>
      </c>
      <c r="E50">
        <v>3</v>
      </c>
      <c r="F50" t="s">
        <v>248</v>
      </c>
    </row>
    <row r="51" spans="1:9">
      <c r="A51" s="115">
        <v>51</v>
      </c>
      <c r="B51" t="s">
        <v>555</v>
      </c>
      <c r="C51" t="s">
        <v>249</v>
      </c>
      <c r="D51" t="s">
        <v>250</v>
      </c>
      <c r="E51">
        <v>4</v>
      </c>
      <c r="F51" t="s">
        <v>251</v>
      </c>
    </row>
    <row r="52" spans="1:9">
      <c r="A52" s="115">
        <v>52</v>
      </c>
      <c r="B52" t="s">
        <v>555</v>
      </c>
      <c r="C52" t="s">
        <v>252</v>
      </c>
      <c r="D52" t="s">
        <v>253</v>
      </c>
      <c r="E52">
        <v>5</v>
      </c>
      <c r="F52" t="s">
        <v>254</v>
      </c>
    </row>
    <row r="53" spans="1:9">
      <c r="A53" s="115">
        <v>53</v>
      </c>
      <c r="B53" t="s">
        <v>555</v>
      </c>
      <c r="C53" t="s">
        <v>255</v>
      </c>
      <c r="D53" t="s">
        <v>256</v>
      </c>
      <c r="E53">
        <v>6</v>
      </c>
      <c r="F53" t="s">
        <v>257</v>
      </c>
    </row>
    <row r="54" spans="1:9">
      <c r="A54" s="115">
        <v>54</v>
      </c>
      <c r="B54" t="s">
        <v>555</v>
      </c>
      <c r="C54" t="s">
        <v>258</v>
      </c>
      <c r="D54" t="s">
        <v>259</v>
      </c>
      <c r="E54">
        <v>7</v>
      </c>
      <c r="F54" t="s">
        <v>260</v>
      </c>
    </row>
    <row r="55" spans="1:9">
      <c r="A55" s="115">
        <v>55</v>
      </c>
      <c r="B55" t="s">
        <v>555</v>
      </c>
      <c r="C55" t="s">
        <v>261</v>
      </c>
      <c r="D55" t="s">
        <v>262</v>
      </c>
      <c r="E55">
        <v>8</v>
      </c>
      <c r="F55" t="s">
        <v>263</v>
      </c>
    </row>
    <row r="56" spans="1:9">
      <c r="A56" s="115">
        <v>56</v>
      </c>
      <c r="B56" t="s">
        <v>555</v>
      </c>
      <c r="C56" t="s">
        <v>264</v>
      </c>
      <c r="D56" t="s">
        <v>265</v>
      </c>
      <c r="E56">
        <v>9</v>
      </c>
      <c r="F56" t="s">
        <v>266</v>
      </c>
    </row>
    <row r="57" spans="1:9">
      <c r="A57" s="115">
        <v>57</v>
      </c>
      <c r="B57" t="s">
        <v>555</v>
      </c>
      <c r="C57" t="s">
        <v>267</v>
      </c>
      <c r="D57" t="s">
        <v>268</v>
      </c>
      <c r="E57" s="77">
        <v>10</v>
      </c>
      <c r="F57" t="s">
        <v>269</v>
      </c>
    </row>
    <row r="58" spans="1:9">
      <c r="A58" s="115">
        <v>58</v>
      </c>
      <c r="B58" t="s">
        <v>555</v>
      </c>
      <c r="C58" t="s">
        <v>270</v>
      </c>
      <c r="D58" t="s">
        <v>271</v>
      </c>
      <c r="E58" s="77">
        <v>1017</v>
      </c>
      <c r="F58" t="s">
        <v>272</v>
      </c>
      <c r="I58" s="77"/>
    </row>
    <row r="59" spans="1:9">
      <c r="A59" s="115">
        <v>59</v>
      </c>
      <c r="B59" t="s">
        <v>555</v>
      </c>
      <c r="C59" t="s">
        <v>273</v>
      </c>
      <c r="D59" t="s">
        <v>274</v>
      </c>
      <c r="E59" s="77">
        <v>1017</v>
      </c>
      <c r="F59" t="s">
        <v>275</v>
      </c>
      <c r="I59" s="77"/>
    </row>
    <row r="60" spans="1:9">
      <c r="A60" s="115">
        <v>60</v>
      </c>
      <c r="B60" t="s">
        <v>555</v>
      </c>
      <c r="C60" t="s">
        <v>276</v>
      </c>
      <c r="D60" t="s">
        <v>277</v>
      </c>
      <c r="E60" s="77">
        <v>1017</v>
      </c>
      <c r="F60" t="s">
        <v>278</v>
      </c>
      <c r="I60" s="77"/>
    </row>
    <row r="61" spans="1:9">
      <c r="A61" s="115">
        <v>61</v>
      </c>
      <c r="B61" t="s">
        <v>555</v>
      </c>
      <c r="C61" t="s">
        <v>279</v>
      </c>
      <c r="D61" t="s">
        <v>280</v>
      </c>
      <c r="E61" s="77">
        <v>1017</v>
      </c>
      <c r="F61" t="s">
        <v>281</v>
      </c>
      <c r="I61" s="77"/>
    </row>
    <row r="62" spans="1:9">
      <c r="A62" s="115">
        <v>62</v>
      </c>
      <c r="B62" t="s">
        <v>555</v>
      </c>
      <c r="C62" t="s">
        <v>282</v>
      </c>
      <c r="D62" t="s">
        <v>283</v>
      </c>
      <c r="E62" s="77">
        <v>1017</v>
      </c>
      <c r="F62" t="s">
        <v>284</v>
      </c>
      <c r="I62" s="77"/>
    </row>
    <row r="63" spans="1:9">
      <c r="A63" s="115">
        <v>63</v>
      </c>
      <c r="B63" t="s">
        <v>555</v>
      </c>
      <c r="C63" t="s">
        <v>285</v>
      </c>
      <c r="D63" t="s">
        <v>286</v>
      </c>
      <c r="E63" s="77">
        <v>1017</v>
      </c>
      <c r="F63" t="s">
        <v>287</v>
      </c>
      <c r="I63" s="77"/>
    </row>
    <row r="64" spans="1:9">
      <c r="A64" s="115">
        <v>64</v>
      </c>
      <c r="B64" t="s">
        <v>555</v>
      </c>
      <c r="C64" t="s">
        <v>288</v>
      </c>
      <c r="D64" t="s">
        <v>289</v>
      </c>
      <c r="E64" s="77">
        <v>1017</v>
      </c>
      <c r="F64" t="s">
        <v>290</v>
      </c>
      <c r="I64" s="77"/>
    </row>
    <row r="65" spans="1:9">
      <c r="A65" s="115">
        <v>65</v>
      </c>
      <c r="B65" t="s">
        <v>555</v>
      </c>
      <c r="C65" t="s">
        <v>291</v>
      </c>
      <c r="D65" t="s">
        <v>292</v>
      </c>
      <c r="E65" s="77">
        <v>1017</v>
      </c>
      <c r="F65" t="s">
        <v>293</v>
      </c>
      <c r="I65" s="77"/>
    </row>
    <row r="66" spans="1:9">
      <c r="A66" s="115">
        <v>66</v>
      </c>
      <c r="B66" t="s">
        <v>555</v>
      </c>
      <c r="C66" t="s">
        <v>294</v>
      </c>
      <c r="D66" t="s">
        <v>295</v>
      </c>
      <c r="E66" s="77">
        <v>1017</v>
      </c>
      <c r="F66" t="s">
        <v>296</v>
      </c>
      <c r="I66" s="77"/>
    </row>
    <row r="67" spans="1:9">
      <c r="A67" s="115">
        <v>67</v>
      </c>
      <c r="B67" t="s">
        <v>555</v>
      </c>
      <c r="C67" t="s">
        <v>297</v>
      </c>
      <c r="D67" t="s">
        <v>298</v>
      </c>
      <c r="E67" s="77">
        <v>1017</v>
      </c>
      <c r="F67" t="s">
        <v>299</v>
      </c>
      <c r="I67" s="77"/>
    </row>
    <row r="68" spans="1:9">
      <c r="A68" s="115">
        <v>68</v>
      </c>
      <c r="B68" t="s">
        <v>555</v>
      </c>
      <c r="C68" t="s">
        <v>300</v>
      </c>
      <c r="D68" t="s">
        <v>301</v>
      </c>
      <c r="E68" s="77">
        <v>1017</v>
      </c>
      <c r="F68" t="s">
        <v>302</v>
      </c>
      <c r="I68" s="77"/>
    </row>
    <row r="69" spans="1:9">
      <c r="A69" s="115">
        <v>69</v>
      </c>
      <c r="B69" t="s">
        <v>555</v>
      </c>
      <c r="C69" t="s">
        <v>303</v>
      </c>
      <c r="D69" t="s">
        <v>304</v>
      </c>
      <c r="E69" s="77">
        <v>1017</v>
      </c>
      <c r="F69" t="s">
        <v>305</v>
      </c>
      <c r="I69" s="77"/>
    </row>
    <row r="70" spans="1:9">
      <c r="A70" s="115">
        <v>70</v>
      </c>
      <c r="B70" t="s">
        <v>555</v>
      </c>
      <c r="C70" t="s">
        <v>306</v>
      </c>
      <c r="D70" t="s">
        <v>307</v>
      </c>
      <c r="E70" s="77">
        <v>1017</v>
      </c>
      <c r="F70" t="s">
        <v>308</v>
      </c>
      <c r="I70" s="77"/>
    </row>
    <row r="71" spans="1:9">
      <c r="A71" s="115">
        <v>71</v>
      </c>
      <c r="B71" t="s">
        <v>555</v>
      </c>
      <c r="C71" t="s">
        <v>309</v>
      </c>
      <c r="D71" t="s">
        <v>310</v>
      </c>
      <c r="E71" s="77">
        <v>1017</v>
      </c>
      <c r="F71" t="s">
        <v>311</v>
      </c>
      <c r="I71" s="77"/>
    </row>
    <row r="72" spans="1:9">
      <c r="A72" s="115">
        <v>72</v>
      </c>
      <c r="B72" t="s">
        <v>555</v>
      </c>
      <c r="C72" t="s">
        <v>312</v>
      </c>
      <c r="D72" t="s">
        <v>313</v>
      </c>
      <c r="E72" s="77">
        <v>1017</v>
      </c>
      <c r="F72" t="s">
        <v>314</v>
      </c>
      <c r="I72" s="77"/>
    </row>
    <row r="73" spans="1:9">
      <c r="A73" s="115">
        <v>73</v>
      </c>
      <c r="B73" t="s">
        <v>555</v>
      </c>
      <c r="C73" t="s">
        <v>315</v>
      </c>
      <c r="D73" t="s">
        <v>316</v>
      </c>
      <c r="E73" s="77">
        <v>1017</v>
      </c>
      <c r="F73" t="s">
        <v>317</v>
      </c>
      <c r="I73" s="77"/>
    </row>
    <row r="74" spans="1:9">
      <c r="A74" s="115">
        <v>74</v>
      </c>
      <c r="B74" t="s">
        <v>555</v>
      </c>
      <c r="C74" t="s">
        <v>318</v>
      </c>
      <c r="D74" t="s">
        <v>319</v>
      </c>
      <c r="E74" s="77">
        <v>1017</v>
      </c>
      <c r="F74" t="s">
        <v>320</v>
      </c>
      <c r="I74" s="77"/>
    </row>
    <row r="75" spans="1:9">
      <c r="A75" s="115">
        <v>75</v>
      </c>
      <c r="B75" t="s">
        <v>555</v>
      </c>
      <c r="C75" t="s">
        <v>321</v>
      </c>
      <c r="D75" t="s">
        <v>322</v>
      </c>
      <c r="E75" s="77">
        <v>1017</v>
      </c>
      <c r="F75" t="s">
        <v>323</v>
      </c>
      <c r="I75" s="77"/>
    </row>
    <row r="76" spans="1:9">
      <c r="A76" s="115">
        <v>76</v>
      </c>
      <c r="B76" t="s">
        <v>555</v>
      </c>
      <c r="C76" t="s">
        <v>324</v>
      </c>
      <c r="D76" t="s">
        <v>325</v>
      </c>
      <c r="E76" s="77">
        <v>1017</v>
      </c>
      <c r="F76" t="s">
        <v>326</v>
      </c>
      <c r="I76" s="77"/>
    </row>
    <row r="77" spans="1:9">
      <c r="A77" s="115">
        <v>77</v>
      </c>
      <c r="B77" t="s">
        <v>555</v>
      </c>
      <c r="C77" t="s">
        <v>327</v>
      </c>
      <c r="D77" t="s">
        <v>328</v>
      </c>
      <c r="E77" s="77">
        <v>1017</v>
      </c>
      <c r="F77" t="s">
        <v>329</v>
      </c>
      <c r="I77" s="77"/>
    </row>
    <row r="78" spans="1:9">
      <c r="A78" s="115">
        <v>78</v>
      </c>
      <c r="B78" t="s">
        <v>555</v>
      </c>
      <c r="C78" t="s">
        <v>330</v>
      </c>
      <c r="D78" t="s">
        <v>331</v>
      </c>
      <c r="E78" s="77">
        <v>1017</v>
      </c>
      <c r="F78" t="s">
        <v>332</v>
      </c>
      <c r="I78" s="77"/>
    </row>
    <row r="79" spans="1:9">
      <c r="A79" s="115">
        <v>79</v>
      </c>
      <c r="B79" t="s">
        <v>555</v>
      </c>
      <c r="C79" t="s">
        <v>333</v>
      </c>
      <c r="D79" t="s">
        <v>334</v>
      </c>
      <c r="E79" s="77">
        <v>1017</v>
      </c>
      <c r="F79" t="s">
        <v>335</v>
      </c>
      <c r="I79" s="77"/>
    </row>
    <row r="80" spans="1:9">
      <c r="A80" s="115">
        <v>80</v>
      </c>
      <c r="B80" t="s">
        <v>555</v>
      </c>
      <c r="C80" t="s">
        <v>336</v>
      </c>
      <c r="D80" t="s">
        <v>337</v>
      </c>
      <c r="E80" s="77">
        <v>8905.43</v>
      </c>
      <c r="F80" t="s">
        <v>338</v>
      </c>
      <c r="I80" s="77"/>
    </row>
    <row r="81" spans="1:9">
      <c r="A81" s="115">
        <v>81</v>
      </c>
      <c r="B81" t="s">
        <v>555</v>
      </c>
      <c r="C81" t="s">
        <v>339</v>
      </c>
      <c r="D81" t="s">
        <v>340</v>
      </c>
      <c r="E81" s="77">
        <v>8905.43</v>
      </c>
      <c r="F81" t="s">
        <v>341</v>
      </c>
      <c r="I81" s="77"/>
    </row>
    <row r="82" spans="1:9">
      <c r="A82" s="115">
        <v>82</v>
      </c>
      <c r="B82" t="s">
        <v>555</v>
      </c>
      <c r="C82" t="s">
        <v>342</v>
      </c>
      <c r="D82" t="s">
        <v>343</v>
      </c>
      <c r="E82" s="77">
        <v>8905.43</v>
      </c>
      <c r="F82" t="s">
        <v>344</v>
      </c>
      <c r="I82" s="77"/>
    </row>
    <row r="83" spans="1:9">
      <c r="A83" s="115">
        <v>83</v>
      </c>
      <c r="B83" t="s">
        <v>555</v>
      </c>
      <c r="C83" t="s">
        <v>345</v>
      </c>
      <c r="D83" t="s">
        <v>346</v>
      </c>
      <c r="E83" s="77">
        <v>0</v>
      </c>
      <c r="F83" t="s">
        <v>347</v>
      </c>
    </row>
    <row r="84" spans="1:9">
      <c r="A84" s="115">
        <v>84</v>
      </c>
      <c r="B84" t="s">
        <v>555</v>
      </c>
      <c r="C84" t="s">
        <v>348</v>
      </c>
      <c r="D84" t="s">
        <v>349</v>
      </c>
      <c r="E84">
        <v>1.3684304389198723</v>
      </c>
      <c r="F84" t="s">
        <v>350</v>
      </c>
    </row>
    <row r="85" spans="1:9">
      <c r="A85" s="115">
        <v>85</v>
      </c>
      <c r="B85" t="s">
        <v>555</v>
      </c>
      <c r="C85" t="s">
        <v>351</v>
      </c>
      <c r="D85" t="s">
        <v>352</v>
      </c>
      <c r="E85">
        <v>0.17513134851138354</v>
      </c>
      <c r="F85" t="s">
        <v>353</v>
      </c>
    </row>
    <row r="86" spans="1:9">
      <c r="A86" s="115">
        <v>86</v>
      </c>
      <c r="B86" t="s">
        <v>555</v>
      </c>
      <c r="C86" t="s">
        <v>354</v>
      </c>
      <c r="D86" t="s">
        <v>355</v>
      </c>
      <c r="E86">
        <v>0</v>
      </c>
      <c r="F86" t="s">
        <v>356</v>
      </c>
    </row>
    <row r="87" spans="1:9">
      <c r="A87" s="115">
        <v>87</v>
      </c>
      <c r="B87" t="s">
        <v>555</v>
      </c>
      <c r="C87" t="s">
        <v>357</v>
      </c>
      <c r="D87" t="s">
        <v>358</v>
      </c>
      <c r="E87">
        <v>1</v>
      </c>
      <c r="F87" t="s">
        <v>359</v>
      </c>
    </row>
    <row r="88" spans="1:9">
      <c r="A88" s="115">
        <v>88</v>
      </c>
      <c r="B88" t="s">
        <v>555</v>
      </c>
      <c r="C88" t="s">
        <v>360</v>
      </c>
      <c r="D88" t="s">
        <v>361</v>
      </c>
      <c r="E88">
        <v>2</v>
      </c>
      <c r="F88" t="s">
        <v>362</v>
      </c>
    </row>
    <row r="89" spans="1:9">
      <c r="A89" s="115">
        <v>89</v>
      </c>
      <c r="B89" t="s">
        <v>555</v>
      </c>
      <c r="C89" t="s">
        <v>363</v>
      </c>
      <c r="D89" t="s">
        <v>364</v>
      </c>
      <c r="E89">
        <v>3</v>
      </c>
      <c r="F89" t="s">
        <v>365</v>
      </c>
    </row>
    <row r="90" spans="1:9">
      <c r="A90" s="115">
        <v>90</v>
      </c>
      <c r="B90" t="s">
        <v>555</v>
      </c>
      <c r="C90" t="s">
        <v>366</v>
      </c>
      <c r="D90" t="s">
        <v>367</v>
      </c>
      <c r="E90">
        <v>4</v>
      </c>
      <c r="F90" t="s">
        <v>368</v>
      </c>
    </row>
    <row r="91" spans="1:9">
      <c r="A91" s="115">
        <v>91</v>
      </c>
      <c r="B91" t="s">
        <v>555</v>
      </c>
      <c r="C91" t="s">
        <v>369</v>
      </c>
      <c r="D91" t="s">
        <v>370</v>
      </c>
      <c r="E91">
        <v>5</v>
      </c>
      <c r="F91" t="s">
        <v>371</v>
      </c>
    </row>
    <row r="92" spans="1:9">
      <c r="A92" s="115">
        <v>92</v>
      </c>
      <c r="B92" t="s">
        <v>555</v>
      </c>
      <c r="C92" t="s">
        <v>372</v>
      </c>
      <c r="D92" t="s">
        <v>373</v>
      </c>
      <c r="E92">
        <v>6</v>
      </c>
      <c r="F92" t="s">
        <v>374</v>
      </c>
    </row>
    <row r="93" spans="1:9">
      <c r="A93" s="115">
        <v>93</v>
      </c>
      <c r="B93" t="s">
        <v>555</v>
      </c>
      <c r="C93" t="s">
        <v>375</v>
      </c>
      <c r="D93" t="s">
        <v>376</v>
      </c>
      <c r="E93">
        <v>7</v>
      </c>
      <c r="F93" t="s">
        <v>377</v>
      </c>
    </row>
    <row r="94" spans="1:9">
      <c r="A94" s="115">
        <v>94</v>
      </c>
      <c r="B94" t="s">
        <v>555</v>
      </c>
      <c r="C94" t="s">
        <v>378</v>
      </c>
      <c r="D94" t="s">
        <v>379</v>
      </c>
      <c r="E94">
        <v>8</v>
      </c>
      <c r="F94" t="s">
        <v>380</v>
      </c>
    </row>
    <row r="95" spans="1:9">
      <c r="A95" s="115">
        <v>95</v>
      </c>
      <c r="B95" t="s">
        <v>555</v>
      </c>
      <c r="C95" t="s">
        <v>381</v>
      </c>
      <c r="D95" t="s">
        <v>382</v>
      </c>
      <c r="E95">
        <v>9</v>
      </c>
      <c r="F95" t="s">
        <v>383</v>
      </c>
    </row>
    <row r="96" spans="1:9">
      <c r="A96" s="115">
        <v>96</v>
      </c>
      <c r="B96" t="s">
        <v>555</v>
      </c>
      <c r="C96" t="s">
        <v>384</v>
      </c>
      <c r="D96" t="s">
        <v>385</v>
      </c>
      <c r="E96" s="77">
        <v>10</v>
      </c>
      <c r="F96" t="s">
        <v>386</v>
      </c>
    </row>
    <row r="97" spans="1:9">
      <c r="A97" s="115">
        <v>97</v>
      </c>
      <c r="B97" t="s">
        <v>555</v>
      </c>
      <c r="C97" t="s">
        <v>387</v>
      </c>
      <c r="D97" t="s">
        <v>388</v>
      </c>
      <c r="E97" s="77">
        <v>1400.15</v>
      </c>
      <c r="F97" t="s">
        <v>389</v>
      </c>
      <c r="I97" s="77"/>
    </row>
    <row r="98" spans="1:9">
      <c r="A98" s="115">
        <v>98</v>
      </c>
      <c r="B98" t="s">
        <v>555</v>
      </c>
      <c r="C98" t="s">
        <v>390</v>
      </c>
      <c r="D98" t="s">
        <v>391</v>
      </c>
      <c r="E98" s="77">
        <v>1927.65</v>
      </c>
      <c r="F98" t="s">
        <v>392</v>
      </c>
      <c r="I98" s="77"/>
    </row>
    <row r="99" spans="1:9">
      <c r="A99" s="115">
        <v>99</v>
      </c>
      <c r="B99" t="s">
        <v>555</v>
      </c>
      <c r="C99" t="s">
        <v>393</v>
      </c>
      <c r="D99" t="s">
        <v>394</v>
      </c>
      <c r="E99" s="77">
        <v>2653.88</v>
      </c>
      <c r="F99" t="s">
        <v>395</v>
      </c>
      <c r="I99" s="77"/>
    </row>
    <row r="100" spans="1:9">
      <c r="A100" s="115">
        <v>100</v>
      </c>
      <c r="B100" t="s">
        <v>555</v>
      </c>
      <c r="C100" t="s">
        <v>396</v>
      </c>
      <c r="D100" t="s">
        <v>397</v>
      </c>
      <c r="E100" s="77">
        <v>3653.71</v>
      </c>
      <c r="F100" t="s">
        <v>398</v>
      </c>
      <c r="I100" s="77"/>
    </row>
    <row r="101" spans="1:9">
      <c r="A101" s="115">
        <v>101</v>
      </c>
      <c r="B101" t="s">
        <v>555</v>
      </c>
      <c r="C101" t="s">
        <v>399</v>
      </c>
      <c r="D101" t="s">
        <v>400</v>
      </c>
      <c r="E101" s="77">
        <v>5030.2299999999996</v>
      </c>
      <c r="F101" t="s">
        <v>401</v>
      </c>
      <c r="I101" s="77"/>
    </row>
    <row r="102" spans="1:9">
      <c r="A102" s="115">
        <v>102</v>
      </c>
      <c r="B102" t="s">
        <v>555</v>
      </c>
      <c r="C102" t="s">
        <v>402</v>
      </c>
      <c r="D102" t="s">
        <v>403</v>
      </c>
      <c r="E102" s="77">
        <v>6925.34</v>
      </c>
      <c r="F102" t="s">
        <v>404</v>
      </c>
      <c r="I102" s="77"/>
    </row>
    <row r="103" spans="1:9">
      <c r="A103" s="115">
        <v>103</v>
      </c>
      <c r="B103" t="s">
        <v>555</v>
      </c>
      <c r="C103" t="s">
        <v>405</v>
      </c>
      <c r="D103" t="s">
        <v>406</v>
      </c>
      <c r="E103" s="77">
        <v>9534.42</v>
      </c>
      <c r="F103" t="s">
        <v>407</v>
      </c>
      <c r="I103" s="77"/>
    </row>
    <row r="104" spans="1:9">
      <c r="A104" s="115">
        <v>104</v>
      </c>
      <c r="B104" t="s">
        <v>555</v>
      </c>
      <c r="C104" t="s">
        <v>408</v>
      </c>
      <c r="D104" t="s">
        <v>409</v>
      </c>
      <c r="E104" s="77">
        <v>13126.46</v>
      </c>
      <c r="F104" t="s">
        <v>410</v>
      </c>
      <c r="I104" s="77"/>
    </row>
    <row r="105" spans="1:9">
      <c r="A105" s="115">
        <v>105</v>
      </c>
      <c r="B105" t="s">
        <v>555</v>
      </c>
      <c r="C105" t="s">
        <v>411</v>
      </c>
      <c r="D105" t="s">
        <v>412</v>
      </c>
      <c r="E105" s="77">
        <v>18071.77</v>
      </c>
      <c r="F105" t="s">
        <v>413</v>
      </c>
      <c r="I105" s="77"/>
    </row>
    <row r="106" spans="1:9">
      <c r="A106" s="115">
        <v>106</v>
      </c>
      <c r="B106" t="s">
        <v>555</v>
      </c>
      <c r="C106" t="s">
        <v>414</v>
      </c>
      <c r="D106" t="s">
        <v>415</v>
      </c>
      <c r="E106" s="77">
        <v>24880.21</v>
      </c>
      <c r="F106" t="s">
        <v>416</v>
      </c>
      <c r="I106" s="77"/>
    </row>
    <row r="107" spans="1:9">
      <c r="A107" s="115">
        <v>107</v>
      </c>
      <c r="B107" t="s">
        <v>555</v>
      </c>
      <c r="C107" t="s">
        <v>417</v>
      </c>
      <c r="D107" t="s">
        <v>418</v>
      </c>
      <c r="E107" s="77">
        <v>1391.69</v>
      </c>
      <c r="F107" t="s">
        <v>419</v>
      </c>
      <c r="I107" s="77"/>
    </row>
    <row r="108" spans="1:9">
      <c r="A108" s="115">
        <v>108</v>
      </c>
      <c r="B108" t="s">
        <v>555</v>
      </c>
      <c r="C108" t="s">
        <v>420</v>
      </c>
      <c r="D108" t="s">
        <v>421</v>
      </c>
      <c r="E108" s="77">
        <v>1916.01</v>
      </c>
      <c r="F108" t="s">
        <v>422</v>
      </c>
      <c r="I108" s="77"/>
    </row>
    <row r="109" spans="1:9">
      <c r="A109" s="115">
        <v>109</v>
      </c>
      <c r="B109" t="s">
        <v>555</v>
      </c>
      <c r="C109" t="s">
        <v>423</v>
      </c>
      <c r="D109" t="s">
        <v>424</v>
      </c>
      <c r="E109" s="77">
        <v>2637.85</v>
      </c>
      <c r="F109" t="s">
        <v>425</v>
      </c>
      <c r="I109" s="77"/>
    </row>
    <row r="110" spans="1:9">
      <c r="A110" s="115">
        <v>110</v>
      </c>
      <c r="B110" t="s">
        <v>555</v>
      </c>
      <c r="C110" t="s">
        <v>426</v>
      </c>
      <c r="D110" t="s">
        <v>427</v>
      </c>
      <c r="E110" s="77">
        <v>3631.65</v>
      </c>
      <c r="F110" t="s">
        <v>428</v>
      </c>
      <c r="I110" s="77"/>
    </row>
    <row r="111" spans="1:9">
      <c r="A111" s="115">
        <v>111</v>
      </c>
      <c r="B111" t="s">
        <v>555</v>
      </c>
      <c r="C111" t="s">
        <v>429</v>
      </c>
      <c r="D111" t="s">
        <v>430</v>
      </c>
      <c r="E111" s="77">
        <v>4999.8500000000004</v>
      </c>
      <c r="F111" t="s">
        <v>431</v>
      </c>
      <c r="I111" s="77"/>
    </row>
    <row r="112" spans="1:9">
      <c r="A112" s="115">
        <v>112</v>
      </c>
      <c r="B112" t="s">
        <v>555</v>
      </c>
      <c r="C112" t="s">
        <v>432</v>
      </c>
      <c r="D112" t="s">
        <v>433</v>
      </c>
      <c r="E112" s="77">
        <v>6883.51</v>
      </c>
      <c r="F112" t="s">
        <v>434</v>
      </c>
      <c r="I112" s="77"/>
    </row>
    <row r="113" spans="1:9">
      <c r="A113" s="115">
        <v>113</v>
      </c>
      <c r="B113" t="s">
        <v>555</v>
      </c>
      <c r="C113" t="s">
        <v>435</v>
      </c>
      <c r="D113" t="s">
        <v>436</v>
      </c>
      <c r="E113" s="77">
        <v>9476.84</v>
      </c>
      <c r="F113" t="s">
        <v>437</v>
      </c>
      <c r="I113" s="77"/>
    </row>
    <row r="114" spans="1:9">
      <c r="A114" s="115">
        <v>114</v>
      </c>
      <c r="B114" t="s">
        <v>555</v>
      </c>
      <c r="C114" t="s">
        <v>438</v>
      </c>
      <c r="D114" t="s">
        <v>439</v>
      </c>
      <c r="E114" s="77">
        <v>13047.19</v>
      </c>
      <c r="F114" t="s">
        <v>440</v>
      </c>
      <c r="I114" s="77"/>
    </row>
    <row r="115" spans="1:9">
      <c r="A115" s="115">
        <v>115</v>
      </c>
      <c r="B115" t="s">
        <v>555</v>
      </c>
      <c r="C115" t="s">
        <v>441</v>
      </c>
      <c r="D115" t="s">
        <v>442</v>
      </c>
      <c r="E115" s="77">
        <v>17962.64</v>
      </c>
      <c r="F115" t="s">
        <v>443</v>
      </c>
      <c r="I115" s="77"/>
    </row>
    <row r="116" spans="1:9">
      <c r="A116" s="115">
        <v>116</v>
      </c>
      <c r="B116" t="s">
        <v>555</v>
      </c>
      <c r="C116" t="s">
        <v>444</v>
      </c>
      <c r="D116" t="s">
        <v>445</v>
      </c>
      <c r="E116" s="77">
        <v>24729.97</v>
      </c>
      <c r="F116" t="s">
        <v>446</v>
      </c>
      <c r="I116" s="77"/>
    </row>
    <row r="117" spans="1:9">
      <c r="A117" s="115">
        <v>117</v>
      </c>
      <c r="B117" t="s">
        <v>555</v>
      </c>
      <c r="C117" t="s">
        <v>447</v>
      </c>
      <c r="D117" t="s">
        <v>448</v>
      </c>
      <c r="E117" s="77">
        <v>4357.3100000000004</v>
      </c>
      <c r="F117" t="s">
        <v>449</v>
      </c>
      <c r="I117" s="77"/>
    </row>
    <row r="118" spans="1:9">
      <c r="A118" s="115">
        <v>118</v>
      </c>
      <c r="B118" t="s">
        <v>555</v>
      </c>
      <c r="C118" t="s">
        <v>450</v>
      </c>
      <c r="D118" t="s">
        <v>451</v>
      </c>
      <c r="E118" s="77">
        <v>-1391.69</v>
      </c>
      <c r="F118" t="s">
        <v>452</v>
      </c>
      <c r="I118" s="77"/>
    </row>
    <row r="119" spans="1:9">
      <c r="A119" s="115">
        <v>119</v>
      </c>
      <c r="B119" t="s">
        <v>555</v>
      </c>
      <c r="C119" t="s">
        <v>453</v>
      </c>
      <c r="D119" t="s">
        <v>454</v>
      </c>
      <c r="E119" s="77">
        <v>-515.86</v>
      </c>
      <c r="F119" t="s">
        <v>455</v>
      </c>
      <c r="I119" s="77"/>
    </row>
    <row r="120" spans="1:9">
      <c r="A120" s="115">
        <v>120</v>
      </c>
      <c r="B120" t="s">
        <v>555</v>
      </c>
      <c r="C120" t="s">
        <v>456</v>
      </c>
      <c r="D120" t="s">
        <v>457</v>
      </c>
      <c r="E120" s="77">
        <v>-710.2</v>
      </c>
      <c r="F120" t="s">
        <v>458</v>
      </c>
      <c r="I120" s="77"/>
    </row>
    <row r="121" spans="1:9">
      <c r="A121" s="115">
        <v>121</v>
      </c>
      <c r="B121" t="s">
        <v>555</v>
      </c>
      <c r="C121" t="s">
        <v>459</v>
      </c>
      <c r="D121" t="s">
        <v>460</v>
      </c>
      <c r="E121" s="77">
        <v>-977.77</v>
      </c>
      <c r="F121" t="s">
        <v>461</v>
      </c>
      <c r="I121" s="77"/>
    </row>
    <row r="122" spans="1:9">
      <c r="A122" s="115">
        <v>122</v>
      </c>
      <c r="B122" t="s">
        <v>555</v>
      </c>
      <c r="C122" t="s">
        <v>462</v>
      </c>
      <c r="D122" t="s">
        <v>463</v>
      </c>
      <c r="E122" s="77">
        <v>-1346.14</v>
      </c>
      <c r="F122" t="s">
        <v>464</v>
      </c>
      <c r="I122" s="77"/>
    </row>
    <row r="123" spans="1:9">
      <c r="A123" s="115">
        <v>123</v>
      </c>
      <c r="B123" t="s">
        <v>555</v>
      </c>
      <c r="C123" t="s">
        <v>465</v>
      </c>
      <c r="D123" t="s">
        <v>466</v>
      </c>
      <c r="E123" s="77">
        <v>-1853.29</v>
      </c>
      <c r="F123" t="s">
        <v>467</v>
      </c>
      <c r="I123" s="77"/>
    </row>
    <row r="124" spans="1:9">
      <c r="A124" s="115">
        <v>124</v>
      </c>
      <c r="B124" t="s">
        <v>555</v>
      </c>
      <c r="C124" t="s">
        <v>468</v>
      </c>
      <c r="D124" t="s">
        <v>469</v>
      </c>
      <c r="E124" s="77">
        <v>-2551.5</v>
      </c>
      <c r="F124" t="s">
        <v>470</v>
      </c>
      <c r="I124" s="77"/>
    </row>
    <row r="125" spans="1:9">
      <c r="A125" s="115">
        <v>125</v>
      </c>
      <c r="B125" t="s">
        <v>555</v>
      </c>
      <c r="C125" t="s">
        <v>471</v>
      </c>
      <c r="D125" t="s">
        <v>472</v>
      </c>
      <c r="E125" s="77">
        <v>-3512.77</v>
      </c>
      <c r="F125" t="s">
        <v>473</v>
      </c>
      <c r="I125" s="77"/>
    </row>
    <row r="126" spans="1:9">
      <c r="A126" s="115">
        <v>126</v>
      </c>
      <c r="B126" t="s">
        <v>555</v>
      </c>
      <c r="C126" t="s">
        <v>474</v>
      </c>
      <c r="D126" t="s">
        <v>475</v>
      </c>
      <c r="E126" s="77">
        <v>-4836.1899999999996</v>
      </c>
      <c r="F126" t="s">
        <v>476</v>
      </c>
      <c r="I126" s="77"/>
    </row>
    <row r="127" spans="1:9">
      <c r="A127" s="115">
        <v>127</v>
      </c>
      <c r="B127" t="s">
        <v>555</v>
      </c>
      <c r="C127" t="s">
        <v>477</v>
      </c>
      <c r="D127" t="s">
        <v>478</v>
      </c>
      <c r="E127" s="77">
        <v>-6658.19</v>
      </c>
      <c r="F127" t="s">
        <v>479</v>
      </c>
      <c r="I127" s="77"/>
    </row>
    <row r="128" spans="1:9">
      <c r="A128" s="115">
        <v>128</v>
      </c>
      <c r="B128" t="s">
        <v>555</v>
      </c>
      <c r="C128" t="s">
        <v>480</v>
      </c>
      <c r="D128" t="s">
        <v>481</v>
      </c>
      <c r="E128" s="77">
        <v>20522.91</v>
      </c>
      <c r="F128" t="s">
        <v>482</v>
      </c>
      <c r="I128" s="77"/>
    </row>
    <row r="129" spans="1:9">
      <c r="A129" s="115">
        <v>129</v>
      </c>
      <c r="B129" t="s">
        <v>555</v>
      </c>
      <c r="C129" t="s">
        <v>483</v>
      </c>
      <c r="D129" t="s">
        <v>484</v>
      </c>
      <c r="E129" s="77">
        <v>25377.82</v>
      </c>
      <c r="F129" t="s">
        <v>485</v>
      </c>
      <c r="I129" s="77"/>
    </row>
    <row r="130" spans="1:9">
      <c r="A130" s="115">
        <v>130</v>
      </c>
      <c r="B130" t="s">
        <v>555</v>
      </c>
      <c r="C130" t="s">
        <v>486</v>
      </c>
      <c r="D130" t="s">
        <v>487</v>
      </c>
      <c r="E130" s="77">
        <v>20933.37</v>
      </c>
      <c r="F130" t="s">
        <v>488</v>
      </c>
      <c r="I130" s="77"/>
    </row>
    <row r="131" spans="1:9">
      <c r="A131" s="115">
        <v>131</v>
      </c>
      <c r="B131" t="s">
        <v>555</v>
      </c>
      <c r="C131" t="s">
        <v>489</v>
      </c>
      <c r="D131" t="s">
        <v>490</v>
      </c>
      <c r="E131" s="77">
        <v>222222.57</v>
      </c>
      <c r="F131" t="s">
        <v>491</v>
      </c>
      <c r="I131" s="77"/>
    </row>
    <row r="132" spans="1:9">
      <c r="A132" s="115">
        <v>132</v>
      </c>
      <c r="B132" t="s">
        <v>555</v>
      </c>
      <c r="C132" t="s">
        <v>492</v>
      </c>
      <c r="D132" t="s">
        <v>493</v>
      </c>
      <c r="E132" s="77">
        <v>69703</v>
      </c>
      <c r="F132" t="s">
        <v>494</v>
      </c>
      <c r="I132" s="77"/>
    </row>
    <row r="133" spans="1:9">
      <c r="A133" s="115">
        <v>133</v>
      </c>
      <c r="B133" t="s">
        <v>555</v>
      </c>
      <c r="C133" t="s">
        <v>495</v>
      </c>
      <c r="D133" t="s">
        <v>496</v>
      </c>
      <c r="E133" s="77">
        <v>69703</v>
      </c>
      <c r="F133" t="s">
        <v>497</v>
      </c>
      <c r="I133" s="77"/>
    </row>
    <row r="134" spans="1:9">
      <c r="A134" s="115">
        <v>134</v>
      </c>
      <c r="B134" t="s">
        <v>555</v>
      </c>
      <c r="C134" t="s">
        <v>498</v>
      </c>
      <c r="D134" t="s">
        <v>499</v>
      </c>
      <c r="E134" s="77">
        <v>0</v>
      </c>
      <c r="F134" t="s">
        <v>500</v>
      </c>
    </row>
    <row r="135" spans="1:9">
      <c r="A135" s="115">
        <v>135</v>
      </c>
      <c r="B135" t="s">
        <v>555</v>
      </c>
      <c r="C135" t="s">
        <v>501</v>
      </c>
      <c r="D135" t="s">
        <v>502</v>
      </c>
      <c r="E135">
        <v>60797.569848663872</v>
      </c>
      <c r="F135" t="s">
        <v>503</v>
      </c>
    </row>
    <row r="136" spans="1:9">
      <c r="A136" s="115">
        <v>136</v>
      </c>
      <c r="B136" t="s">
        <v>555</v>
      </c>
      <c r="C136" t="s">
        <v>579</v>
      </c>
      <c r="D136" t="s">
        <v>580</v>
      </c>
      <c r="E136">
        <v>60797.56984866385</v>
      </c>
      <c r="F136" t="s">
        <v>581</v>
      </c>
    </row>
    <row r="137" spans="1:9">
      <c r="A137" s="115">
        <v>137</v>
      </c>
      <c r="B137" t="s">
        <v>555</v>
      </c>
      <c r="C137" t="s">
        <v>582</v>
      </c>
      <c r="D137" t="s">
        <v>583</v>
      </c>
      <c r="E137" s="77">
        <v>0</v>
      </c>
      <c r="F137" t="s">
        <v>584</v>
      </c>
    </row>
    <row r="138" spans="1:9">
      <c r="A138" s="115">
        <v>138</v>
      </c>
      <c r="B138" t="s">
        <v>555</v>
      </c>
      <c r="C138" t="s">
        <v>585</v>
      </c>
      <c r="D138" t="s">
        <v>586</v>
      </c>
      <c r="E138">
        <v>60797.569848663843</v>
      </c>
      <c r="F138" t="s">
        <v>587</v>
      </c>
    </row>
    <row r="139" spans="1:9">
      <c r="A139" s="115">
        <v>139</v>
      </c>
      <c r="B139" t="s">
        <v>555</v>
      </c>
      <c r="C139" t="s">
        <v>588</v>
      </c>
      <c r="D139" t="s">
        <v>589</v>
      </c>
      <c r="E139" s="77">
        <v>0</v>
      </c>
      <c r="F139" t="s">
        <v>590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PRINT_FORMULATIONS_IN_WORKSHEET_SECTION1_FUNC">
                <anchor moveWithCells="1" sizeWithCells="1">
                  <from>
                    <xdr:col>7</xdr:col>
                    <xdr:colOff>180975</xdr:colOff>
                    <xdr:row>0</xdr:row>
                    <xdr:rowOff>28575</xdr:rowOff>
                  </from>
                  <to>
                    <xdr:col>8</xdr:col>
                    <xdr:colOff>571500</xdr:colOff>
                    <xdr:row>1</xdr:row>
                    <xdr:rowOff>161925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B42"/>
  <sheetViews>
    <sheetView zoomScale="90" zoomScaleNormal="90" workbookViewId="0">
      <selection activeCell="Y8" sqref="Y8"/>
    </sheetView>
  </sheetViews>
  <sheetFormatPr defaultColWidth="8.86328125" defaultRowHeight="15.75"/>
  <cols>
    <col min="1" max="1" width="11.86328125" style="6" bestFit="1" customWidth="1"/>
    <col min="2" max="4" width="10.59765625" style="6" bestFit="1" customWidth="1"/>
    <col min="5" max="5" width="13.3984375" style="6" bestFit="1" customWidth="1"/>
    <col min="6" max="6" width="14.1328125" style="6" bestFit="1" customWidth="1"/>
    <col min="7" max="7" width="19.1328125" style="6" bestFit="1" customWidth="1"/>
    <col min="8" max="9" width="8.86328125" style="6"/>
    <col min="10" max="10" width="10.59765625" style="6" bestFit="1" customWidth="1"/>
    <col min="11" max="11" width="14" style="6" customWidth="1"/>
    <col min="12" max="12" width="25.265625" style="6" bestFit="1" customWidth="1"/>
    <col min="13" max="17" width="11.265625" style="6" bestFit="1" customWidth="1"/>
    <col min="18" max="18" width="12" style="6" bestFit="1" customWidth="1"/>
    <col min="19" max="19" width="12" style="6" customWidth="1"/>
    <col min="20" max="16384" width="8.86328125" style="6"/>
  </cols>
  <sheetData>
    <row r="1" spans="1:28" ht="94.5">
      <c r="A1" s="57" t="s">
        <v>75</v>
      </c>
      <c r="B1" s="57" t="s">
        <v>76</v>
      </c>
      <c r="C1" s="57" t="s">
        <v>77</v>
      </c>
      <c r="D1" s="57" t="s">
        <v>78</v>
      </c>
      <c r="E1" s="57" t="s">
        <v>79</v>
      </c>
      <c r="F1" s="57" t="s">
        <v>80</v>
      </c>
      <c r="G1" s="57" t="s">
        <v>81</v>
      </c>
      <c r="H1" s="57" t="s">
        <v>82</v>
      </c>
      <c r="I1" s="57" t="s">
        <v>83</v>
      </c>
      <c r="J1" s="57" t="s">
        <v>84</v>
      </c>
      <c r="K1" s="57" t="s">
        <v>94</v>
      </c>
      <c r="L1" s="57" t="s">
        <v>85</v>
      </c>
      <c r="M1" s="57" t="s">
        <v>86</v>
      </c>
      <c r="N1" s="57" t="s">
        <v>39</v>
      </c>
      <c r="O1" s="57" t="s">
        <v>40</v>
      </c>
      <c r="P1" s="57" t="s">
        <v>87</v>
      </c>
      <c r="Q1" s="57" t="s">
        <v>88</v>
      </c>
      <c r="R1" s="57" t="s">
        <v>92</v>
      </c>
      <c r="U1" s="69" t="s">
        <v>93</v>
      </c>
      <c r="V1" s="68"/>
      <c r="W1" s="68"/>
      <c r="X1" s="68"/>
      <c r="Y1" s="68"/>
      <c r="Z1" s="68"/>
      <c r="AA1" s="68"/>
      <c r="AB1" s="68"/>
    </row>
    <row r="2" spans="1:28">
      <c r="A2" s="58">
        <f>Section1!$B$3</f>
        <v>70000</v>
      </c>
      <c r="B2" s="58">
        <f>Section1!$B$6</f>
        <v>1215</v>
      </c>
      <c r="C2" s="58">
        <f>Section1!$B$7</f>
        <v>1512</v>
      </c>
      <c r="D2" s="58">
        <f>Section1!$B$10</f>
        <v>1695</v>
      </c>
      <c r="E2" s="59">
        <f>Section1!$B$11</f>
        <v>0.4</v>
      </c>
      <c r="F2" s="60">
        <f>Section1!$B$19</f>
        <v>0.1142</v>
      </c>
      <c r="G2" s="60">
        <f>Section1!$B$20</f>
        <v>0.02</v>
      </c>
      <c r="H2" s="61">
        <f>Section1!$B$16</f>
        <v>10</v>
      </c>
      <c r="I2" s="60">
        <f>Section1!$B$15</f>
        <v>0.27531131564699513</v>
      </c>
      <c r="J2" s="62">
        <f t="shared" ref="J2:J33" si="0">D2*(1-E2)/F2</f>
        <v>8905.4290718038537</v>
      </c>
      <c r="K2" s="62"/>
      <c r="L2" s="63">
        <v>0</v>
      </c>
      <c r="M2" s="64">
        <f>GROWTH_WORTH_FORMULA_FUNC(D2,E2,I2,H2,F2,G2,L2,0)</f>
        <v>0</v>
      </c>
      <c r="N2" s="65">
        <f t="shared" ref="N2:N33" si="1">J2+M2</f>
        <v>8905.4290718038537</v>
      </c>
      <c r="O2" s="65">
        <f t="shared" ref="O2:O33" si="2">N2-B2+C2</f>
        <v>9202.4290718038537</v>
      </c>
      <c r="P2" s="65">
        <f t="shared" ref="P2:P33" si="3">(A2+B2-C2-J2)</f>
        <v>60797.570928196146</v>
      </c>
      <c r="Q2" s="65">
        <f t="shared" ref="Q2:Q33" si="4">M2</f>
        <v>0</v>
      </c>
      <c r="R2" s="48">
        <f>P2-Q2</f>
        <v>60797.570928196146</v>
      </c>
      <c r="S2" s="124" t="str">
        <f t="shared" ref="S2:S33" si="5">IF(ABS(R2)&lt;$F$36,L2,"")</f>
        <v/>
      </c>
      <c r="T2" s="54">
        <f>N2-U2</f>
        <v>0</v>
      </c>
      <c r="U2" s="67">
        <f t="array" ref="U2:AA2">GROWTH_WORTH_CALC_FUNC(D2,E2,F2,G2,H2,I2,L2)</f>
        <v>8905.4290718038483</v>
      </c>
      <c r="V2" s="6">
        <v>9083.5376532399296</v>
      </c>
      <c r="W2" s="6">
        <v>855.66924693520139</v>
      </c>
      <c r="X2" s="6">
        <v>1037.3399999999999</v>
      </c>
      <c r="Y2" s="6">
        <v>5824.9129958505528</v>
      </c>
      <c r="Z2" s="6">
        <v>0.17513134851138354</v>
      </c>
      <c r="AA2" s="6">
        <v>0</v>
      </c>
    </row>
    <row r="3" spans="1:28">
      <c r="A3" s="72">
        <f t="shared" ref="A3:H3" si="6">A2</f>
        <v>70000</v>
      </c>
      <c r="B3" s="72">
        <f t="shared" si="6"/>
        <v>1215</v>
      </c>
      <c r="C3" s="72">
        <f t="shared" si="6"/>
        <v>1512</v>
      </c>
      <c r="D3" s="72">
        <f t="shared" si="6"/>
        <v>1695</v>
      </c>
      <c r="E3" s="73">
        <f t="shared" si="6"/>
        <v>0.4</v>
      </c>
      <c r="F3" s="74">
        <f t="shared" si="6"/>
        <v>0.1142</v>
      </c>
      <c r="G3" s="74">
        <f t="shared" si="6"/>
        <v>0.02</v>
      </c>
      <c r="H3" s="17">
        <f t="shared" si="6"/>
        <v>10</v>
      </c>
      <c r="I3" s="74">
        <f>I2</f>
        <v>0.27531131564699513</v>
      </c>
      <c r="J3" s="62">
        <f t="shared" si="0"/>
        <v>8905.4290718038537</v>
      </c>
      <c r="K3" s="71">
        <v>0.05</v>
      </c>
      <c r="L3" s="63">
        <f>K3+L2</f>
        <v>0.05</v>
      </c>
      <c r="M3" s="64">
        <f>GROWTH_WORTH_FORMULA_FUNC(D3,E3,I3,H3,F3,G3,L3,0)</f>
        <v>2024.1161887585913</v>
      </c>
      <c r="N3" s="65">
        <f t="shared" si="1"/>
        <v>10929.545260562445</v>
      </c>
      <c r="O3" s="65">
        <f t="shared" si="2"/>
        <v>11226.545260562445</v>
      </c>
      <c r="P3" s="65">
        <f t="shared" si="3"/>
        <v>60797.570928196146</v>
      </c>
      <c r="Q3" s="65">
        <f t="shared" si="4"/>
        <v>2024.1161887585913</v>
      </c>
      <c r="R3" s="48">
        <f t="shared" ref="R3:R33" si="7">P3-Q3</f>
        <v>58773.454739437555</v>
      </c>
      <c r="S3" s="124" t="str">
        <f t="shared" si="5"/>
        <v/>
      </c>
      <c r="T3" s="54">
        <f t="shared" ref="T3:T33" si="8">N3-U3</f>
        <v>0</v>
      </c>
      <c r="U3" s="67">
        <f t="array" ref="U3:AA3">GROWTH_WORTH_CALC_FUNC(D3,E3,F3,G3,H3,I3,L3)</f>
        <v>10929.54526056244</v>
      </c>
      <c r="V3" s="6">
        <v>14796.125675493096</v>
      </c>
      <c r="W3" s="6">
        <v>1393.7950386314496</v>
      </c>
      <c r="X3" s="6">
        <v>1689.7175521413117</v>
      </c>
      <c r="Y3" s="6">
        <v>5911.7091767405873</v>
      </c>
      <c r="Z3" s="6">
        <v>0.17513134851138354</v>
      </c>
      <c r="AA3" s="6">
        <v>0.1816125860373648</v>
      </c>
    </row>
    <row r="4" spans="1:28">
      <c r="A4" s="72">
        <f t="shared" ref="A4:A33" si="9">A3</f>
        <v>70000</v>
      </c>
      <c r="B4" s="72">
        <f t="shared" ref="B4:B33" si="10">B3</f>
        <v>1215</v>
      </c>
      <c r="C4" s="72">
        <f t="shared" ref="C4:C33" si="11">C3</f>
        <v>1512</v>
      </c>
      <c r="D4" s="72">
        <f t="shared" ref="D4:D33" si="12">D3</f>
        <v>1695</v>
      </c>
      <c r="E4" s="73">
        <f t="shared" ref="E4:E33" si="13">E3</f>
        <v>0.4</v>
      </c>
      <c r="F4" s="74">
        <f t="shared" ref="F4:F33" si="14">F3</f>
        <v>0.1142</v>
      </c>
      <c r="G4" s="74">
        <f t="shared" ref="G4:G33" si="15">G3</f>
        <v>0.02</v>
      </c>
      <c r="H4" s="17">
        <f t="shared" ref="H4:H33" si="16">H3</f>
        <v>10</v>
      </c>
      <c r="I4" s="74">
        <f t="shared" ref="I4:I33" si="17">I3</f>
        <v>0.27531131564699513</v>
      </c>
      <c r="J4" s="62">
        <f t="shared" si="0"/>
        <v>8905.4290718038537</v>
      </c>
      <c r="K4" s="71">
        <v>0.05</v>
      </c>
      <c r="L4" s="63">
        <f t="shared" ref="L4:L33" si="18">K4+L3</f>
        <v>0.1</v>
      </c>
      <c r="M4" s="64">
        <f t="shared" ref="M4:M33" si="19">GROWTH_WORTH_FORMULA_FUNC(D4,E4,I4,H4,F4,G4,L4,0)</f>
        <v>4922.4850904617379</v>
      </c>
      <c r="N4" s="65">
        <f t="shared" si="1"/>
        <v>13827.914162265592</v>
      </c>
      <c r="O4" s="65">
        <f t="shared" si="2"/>
        <v>14124.914162265592</v>
      </c>
      <c r="P4" s="65">
        <f t="shared" si="3"/>
        <v>60797.570928196146</v>
      </c>
      <c r="Q4" s="65">
        <f t="shared" si="4"/>
        <v>4922.4850904617379</v>
      </c>
      <c r="R4" s="48">
        <f t="shared" si="7"/>
        <v>55875.085837734412</v>
      </c>
      <c r="S4" s="124" t="str">
        <f t="shared" si="5"/>
        <v/>
      </c>
      <c r="T4" s="54">
        <f t="shared" si="8"/>
        <v>0</v>
      </c>
      <c r="U4" s="67">
        <f t="array" ref="U4:AA4">GROWTH_WORTH_CALC_FUNC(D4,E4,F4,G4,H4,I4,L4)</f>
        <v>13827.914162265586</v>
      </c>
      <c r="V4" s="6">
        <v>23560.357299125539</v>
      </c>
      <c r="W4" s="6">
        <v>2219.3856575776258</v>
      </c>
      <c r="X4" s="6">
        <v>2690.5928035601364</v>
      </c>
      <c r="Y4" s="6">
        <v>5837.8488170448818</v>
      </c>
      <c r="Z4" s="6">
        <v>0.17513134851138354</v>
      </c>
      <c r="AA4" s="6">
        <v>0.3632251720747296</v>
      </c>
    </row>
    <row r="5" spans="1:28">
      <c r="A5" s="72">
        <f t="shared" si="9"/>
        <v>70000</v>
      </c>
      <c r="B5" s="72">
        <f t="shared" si="10"/>
        <v>1215</v>
      </c>
      <c r="C5" s="72">
        <f t="shared" si="11"/>
        <v>1512</v>
      </c>
      <c r="D5" s="72">
        <f t="shared" si="12"/>
        <v>1695</v>
      </c>
      <c r="E5" s="73">
        <f t="shared" si="13"/>
        <v>0.4</v>
      </c>
      <c r="F5" s="74">
        <f t="shared" si="14"/>
        <v>0.1142</v>
      </c>
      <c r="G5" s="74">
        <f t="shared" si="15"/>
        <v>0.02</v>
      </c>
      <c r="H5" s="17">
        <f t="shared" si="16"/>
        <v>10</v>
      </c>
      <c r="I5" s="74">
        <f t="shared" si="17"/>
        <v>0.27531131564699513</v>
      </c>
      <c r="J5" s="62">
        <f t="shared" si="0"/>
        <v>8905.4290718038537</v>
      </c>
      <c r="K5" s="71">
        <v>0.05</v>
      </c>
      <c r="L5" s="63">
        <f t="shared" si="18"/>
        <v>0.15000000000000002</v>
      </c>
      <c r="M5" s="64">
        <f t="shared" si="19"/>
        <v>9049.9133572831215</v>
      </c>
      <c r="N5" s="65">
        <f t="shared" si="1"/>
        <v>17955.342429086973</v>
      </c>
      <c r="O5" s="65">
        <f t="shared" si="2"/>
        <v>18252.342429086973</v>
      </c>
      <c r="P5" s="65">
        <f t="shared" si="3"/>
        <v>60797.570928196146</v>
      </c>
      <c r="Q5" s="65">
        <f t="shared" si="4"/>
        <v>9049.9133572831215</v>
      </c>
      <c r="R5" s="48">
        <f t="shared" si="7"/>
        <v>51747.657570913027</v>
      </c>
      <c r="S5" s="124" t="str">
        <f t="shared" si="5"/>
        <v/>
      </c>
      <c r="T5" s="54">
        <f t="shared" si="8"/>
        <v>0</v>
      </c>
      <c r="U5" s="67">
        <f t="array" ref="U5:AA5">GROWTH_WORTH_CALC_FUNC(D5,E5,F5,G5,H5,I5,L5)</f>
        <v>17955.34242908697</v>
      </c>
      <c r="V5" s="6">
        <v>36747.976020658847</v>
      </c>
      <c r="W5" s="6">
        <v>3461.6593411460631</v>
      </c>
      <c r="X5" s="6">
        <v>4196.61886155924</v>
      </c>
      <c r="Y5" s="6">
        <v>5492.9367880415512</v>
      </c>
      <c r="Z5" s="6">
        <v>0.17513134851138354</v>
      </c>
      <c r="AA5" s="6">
        <v>0.54483775811209445</v>
      </c>
    </row>
    <row r="6" spans="1:28">
      <c r="A6" s="72">
        <f t="shared" si="9"/>
        <v>70000</v>
      </c>
      <c r="B6" s="72">
        <f t="shared" si="10"/>
        <v>1215</v>
      </c>
      <c r="C6" s="72">
        <f t="shared" si="11"/>
        <v>1512</v>
      </c>
      <c r="D6" s="72">
        <f t="shared" si="12"/>
        <v>1695</v>
      </c>
      <c r="E6" s="73">
        <f t="shared" si="13"/>
        <v>0.4</v>
      </c>
      <c r="F6" s="74">
        <f t="shared" si="14"/>
        <v>0.1142</v>
      </c>
      <c r="G6" s="74">
        <f t="shared" si="15"/>
        <v>0.02</v>
      </c>
      <c r="H6" s="17">
        <f t="shared" si="16"/>
        <v>10</v>
      </c>
      <c r="I6" s="74">
        <f t="shared" si="17"/>
        <v>0.27531131564699513</v>
      </c>
      <c r="J6" s="62">
        <f t="shared" si="0"/>
        <v>8905.4290718038537</v>
      </c>
      <c r="K6" s="71">
        <v>0.05</v>
      </c>
      <c r="L6" s="63">
        <f t="shared" si="18"/>
        <v>0.2</v>
      </c>
      <c r="M6" s="64">
        <f t="shared" si="19"/>
        <v>14886.140483251542</v>
      </c>
      <c r="N6" s="65">
        <f t="shared" si="1"/>
        <v>23791.569555055394</v>
      </c>
      <c r="O6" s="65">
        <f t="shared" si="2"/>
        <v>24088.569555055394</v>
      </c>
      <c r="P6" s="65">
        <f t="shared" si="3"/>
        <v>60797.570928196146</v>
      </c>
      <c r="Q6" s="65">
        <f t="shared" si="4"/>
        <v>14886.140483251542</v>
      </c>
      <c r="R6" s="48">
        <f t="shared" si="7"/>
        <v>45911.430444944606</v>
      </c>
      <c r="S6" s="124" t="str">
        <f t="shared" si="5"/>
        <v/>
      </c>
      <c r="T6" s="54">
        <f t="shared" si="8"/>
        <v>0</v>
      </c>
      <c r="U6" s="67">
        <f t="array" ref="U6:AA6">GROWTH_WORTH_CALC_FUNC(D6,E6,F6,G6,H6,I6,L6)</f>
        <v>23791.56955505539</v>
      </c>
      <c r="V6" s="6">
        <v>56242.870931807469</v>
      </c>
      <c r="W6" s="6">
        <v>5298.0784417762634</v>
      </c>
      <c r="X6" s="6">
        <v>6422.9358604124127</v>
      </c>
      <c r="Y6" s="6">
        <v>4717.8259677866599</v>
      </c>
      <c r="Z6" s="6">
        <v>0.17513134851138354</v>
      </c>
      <c r="AA6" s="6">
        <v>0.72645034414945919</v>
      </c>
    </row>
    <row r="7" spans="1:28">
      <c r="A7" s="72">
        <f t="shared" si="9"/>
        <v>70000</v>
      </c>
      <c r="B7" s="72">
        <f t="shared" si="10"/>
        <v>1215</v>
      </c>
      <c r="C7" s="72">
        <f t="shared" si="11"/>
        <v>1512</v>
      </c>
      <c r="D7" s="72">
        <f t="shared" si="12"/>
        <v>1695</v>
      </c>
      <c r="E7" s="73">
        <f t="shared" si="13"/>
        <v>0.4</v>
      </c>
      <c r="F7" s="74">
        <f t="shared" si="14"/>
        <v>0.1142</v>
      </c>
      <c r="G7" s="74">
        <f t="shared" si="15"/>
        <v>0.02</v>
      </c>
      <c r="H7" s="17">
        <f t="shared" si="16"/>
        <v>10</v>
      </c>
      <c r="I7" s="74">
        <f t="shared" si="17"/>
        <v>0.27531131564699513</v>
      </c>
      <c r="J7" s="62">
        <f t="shared" si="0"/>
        <v>8905.4290718038537</v>
      </c>
      <c r="K7" s="71">
        <v>0.05</v>
      </c>
      <c r="L7" s="63">
        <f t="shared" si="18"/>
        <v>0.25</v>
      </c>
      <c r="M7" s="64">
        <f t="shared" si="19"/>
        <v>23072.480616836961</v>
      </c>
      <c r="N7" s="65">
        <f t="shared" si="1"/>
        <v>31977.909688640815</v>
      </c>
      <c r="O7" s="65">
        <f t="shared" si="2"/>
        <v>32274.909688640815</v>
      </c>
      <c r="P7" s="65">
        <f t="shared" si="3"/>
        <v>60797.570928196146</v>
      </c>
      <c r="Q7" s="65">
        <f t="shared" si="4"/>
        <v>23072.480616836961</v>
      </c>
      <c r="R7" s="48">
        <f t="shared" si="7"/>
        <v>37725.090311359185</v>
      </c>
      <c r="S7" s="124" t="str">
        <f t="shared" si="5"/>
        <v/>
      </c>
      <c r="T7" s="54">
        <f t="shared" si="8"/>
        <v>0</v>
      </c>
      <c r="U7" s="67">
        <f t="array" ref="U7:AA7">GROWTH_WORTH_CALC_FUNC(D7,E7,F7,G7,H7,I7,L7)</f>
        <v>31977.909688640812</v>
      </c>
      <c r="V7" s="6">
        <v>84597.03673832053</v>
      </c>
      <c r="W7" s="6">
        <v>7969.0408607497939</v>
      </c>
      <c r="X7" s="6">
        <v>9660.9815955162048</v>
      </c>
      <c r="Y7" s="6">
        <v>3288.368058628876</v>
      </c>
      <c r="Z7" s="6">
        <v>0.17513134851138354</v>
      </c>
      <c r="AA7" s="6">
        <v>0.90806293018682405</v>
      </c>
    </row>
    <row r="8" spans="1:28">
      <c r="A8" s="72">
        <f t="shared" si="9"/>
        <v>70000</v>
      </c>
      <c r="B8" s="72">
        <f t="shared" si="10"/>
        <v>1215</v>
      </c>
      <c r="C8" s="72">
        <f t="shared" si="11"/>
        <v>1512</v>
      </c>
      <c r="D8" s="72">
        <f t="shared" si="12"/>
        <v>1695</v>
      </c>
      <c r="E8" s="73">
        <f t="shared" si="13"/>
        <v>0.4</v>
      </c>
      <c r="F8" s="74">
        <f t="shared" si="14"/>
        <v>0.1142</v>
      </c>
      <c r="G8" s="74">
        <f t="shared" si="15"/>
        <v>0.02</v>
      </c>
      <c r="H8" s="17">
        <f t="shared" si="16"/>
        <v>10</v>
      </c>
      <c r="I8" s="74">
        <f t="shared" si="17"/>
        <v>0.27531131564699513</v>
      </c>
      <c r="J8" s="62">
        <f t="shared" si="0"/>
        <v>8905.4290718038537</v>
      </c>
      <c r="K8" s="71">
        <v>0.05</v>
      </c>
      <c r="L8" s="63">
        <f t="shared" si="18"/>
        <v>0.3</v>
      </c>
      <c r="M8" s="64">
        <f t="shared" si="19"/>
        <v>34457.104685808772</v>
      </c>
      <c r="N8" s="65">
        <f t="shared" si="1"/>
        <v>43362.533757612626</v>
      </c>
      <c r="O8" s="65">
        <f t="shared" si="2"/>
        <v>43659.533757612626</v>
      </c>
      <c r="P8" s="65">
        <f t="shared" si="3"/>
        <v>60797.570928196146</v>
      </c>
      <c r="Q8" s="65">
        <f t="shared" si="4"/>
        <v>34457.104685808772</v>
      </c>
      <c r="R8" s="48">
        <f t="shared" si="7"/>
        <v>26340.466242387374</v>
      </c>
      <c r="S8" s="124" t="str">
        <f t="shared" si="5"/>
        <v/>
      </c>
      <c r="T8" s="54">
        <f t="shared" si="8"/>
        <v>0</v>
      </c>
      <c r="U8" s="67">
        <f t="array" ref="U8:AA8">GROWTH_WORTH_CALC_FUNC(D8,E8,F8,G8,H8,I8,L8)</f>
        <v>43362.533757612619</v>
      </c>
      <c r="V8" s="6">
        <v>125224.28015292621</v>
      </c>
      <c r="W8" s="6">
        <v>11796.127190405648</v>
      </c>
      <c r="X8" s="6">
        <v>14300.612793464172</v>
      </c>
      <c r="Y8" s="6">
        <v>895.00372286052072</v>
      </c>
      <c r="Z8" s="6">
        <v>0.17513134851138354</v>
      </c>
      <c r="AA8" s="6">
        <v>1.0896755162241887</v>
      </c>
    </row>
    <row r="9" spans="1:28">
      <c r="A9" s="72">
        <f t="shared" si="9"/>
        <v>70000</v>
      </c>
      <c r="B9" s="72">
        <f t="shared" si="10"/>
        <v>1215</v>
      </c>
      <c r="C9" s="72">
        <f t="shared" si="11"/>
        <v>1512</v>
      </c>
      <c r="D9" s="72">
        <f t="shared" si="12"/>
        <v>1695</v>
      </c>
      <c r="E9" s="73">
        <f t="shared" si="13"/>
        <v>0.4</v>
      </c>
      <c r="F9" s="74">
        <f t="shared" si="14"/>
        <v>0.1142</v>
      </c>
      <c r="G9" s="74">
        <f t="shared" si="15"/>
        <v>0.02</v>
      </c>
      <c r="H9" s="17">
        <f t="shared" si="16"/>
        <v>10</v>
      </c>
      <c r="I9" s="74">
        <f t="shared" si="17"/>
        <v>0.27531131564699513</v>
      </c>
      <c r="J9" s="62">
        <f t="shared" si="0"/>
        <v>8905.4290718038537</v>
      </c>
      <c r="K9" s="71">
        <v>0.05</v>
      </c>
      <c r="L9" s="63">
        <f t="shared" si="18"/>
        <v>0.35</v>
      </c>
      <c r="M9" s="64">
        <f t="shared" si="19"/>
        <v>50150.531445660919</v>
      </c>
      <c r="N9" s="65">
        <f t="shared" si="1"/>
        <v>59055.960517464773</v>
      </c>
      <c r="O9" s="65">
        <f t="shared" si="2"/>
        <v>59352.960517464773</v>
      </c>
      <c r="P9" s="65">
        <f t="shared" si="3"/>
        <v>60797.570928196146</v>
      </c>
      <c r="Q9" s="65">
        <f t="shared" si="4"/>
        <v>50150.531445660919</v>
      </c>
      <c r="R9" s="48">
        <f t="shared" si="7"/>
        <v>10647.039482535227</v>
      </c>
      <c r="S9" s="124" t="str">
        <f t="shared" si="5"/>
        <v/>
      </c>
      <c r="T9" s="54">
        <f t="shared" si="8"/>
        <v>0</v>
      </c>
      <c r="U9" s="67">
        <f t="array" ref="U9:AA9">GROWTH_WORTH_CALC_FUNC(D9,E9,F9,G9,H9,I9,L9)</f>
        <v>59055.960517464766</v>
      </c>
      <c r="V9" s="6">
        <v>182638.65730956462</v>
      </c>
      <c r="W9" s="6">
        <v>17204.561518560986</v>
      </c>
      <c r="X9" s="6">
        <v>20857.334664752278</v>
      </c>
      <c r="Y9" s="6">
        <v>-2882.6080678662947</v>
      </c>
      <c r="Z9" s="6">
        <v>0.17513134851138354</v>
      </c>
      <c r="AA9" s="6">
        <v>1.2712881022615534</v>
      </c>
    </row>
    <row r="10" spans="1:28">
      <c r="A10" s="72">
        <f t="shared" si="9"/>
        <v>70000</v>
      </c>
      <c r="B10" s="72">
        <f t="shared" si="10"/>
        <v>1215</v>
      </c>
      <c r="C10" s="72">
        <f t="shared" si="11"/>
        <v>1512</v>
      </c>
      <c r="D10" s="72">
        <f t="shared" si="12"/>
        <v>1695</v>
      </c>
      <c r="E10" s="73">
        <f t="shared" si="13"/>
        <v>0.4</v>
      </c>
      <c r="F10" s="74">
        <f t="shared" si="14"/>
        <v>0.1142</v>
      </c>
      <c r="G10" s="74">
        <f t="shared" si="15"/>
        <v>0.02</v>
      </c>
      <c r="H10" s="17">
        <f t="shared" si="16"/>
        <v>10</v>
      </c>
      <c r="I10" s="74">
        <f t="shared" si="17"/>
        <v>0.27531131564699513</v>
      </c>
      <c r="J10" s="62">
        <f t="shared" si="0"/>
        <v>8905.4290718038537</v>
      </c>
      <c r="K10" s="71">
        <v>0.01</v>
      </c>
      <c r="L10" s="63">
        <f t="shared" si="18"/>
        <v>0.36</v>
      </c>
      <c r="M10" s="64">
        <f t="shared" si="19"/>
        <v>53926.352332201081</v>
      </c>
      <c r="N10" s="65">
        <f t="shared" si="1"/>
        <v>62831.781404004934</v>
      </c>
      <c r="O10" s="65">
        <f t="shared" si="2"/>
        <v>63128.781404004934</v>
      </c>
      <c r="P10" s="65">
        <f t="shared" si="3"/>
        <v>60797.570928196146</v>
      </c>
      <c r="Q10" s="65">
        <f t="shared" si="4"/>
        <v>53926.352332201081</v>
      </c>
      <c r="R10" s="48">
        <f t="shared" si="7"/>
        <v>6871.2185959950657</v>
      </c>
      <c r="S10" s="124" t="str">
        <f t="shared" si="5"/>
        <v/>
      </c>
      <c r="T10" s="54">
        <f t="shared" si="8"/>
        <v>0</v>
      </c>
      <c r="U10" s="67">
        <f t="array" ref="U10:AA10">GROWTH_WORTH_CALC_FUNC(D10,E10,F10,G10,H10,I10,L10)</f>
        <v>62831.781404004927</v>
      </c>
      <c r="V10" s="6">
        <v>196627.43073731737</v>
      </c>
      <c r="W10" s="6">
        <v>18522.303975455296</v>
      </c>
      <c r="X10" s="6">
        <v>22454.852590201641</v>
      </c>
      <c r="Y10" s="6">
        <v>-3850.824479579665</v>
      </c>
      <c r="Z10" s="6">
        <v>0.17513134851138354</v>
      </c>
      <c r="AA10" s="6">
        <v>1.3076106194690265</v>
      </c>
    </row>
    <row r="11" spans="1:28">
      <c r="A11" s="72">
        <f t="shared" si="9"/>
        <v>70000</v>
      </c>
      <c r="B11" s="72">
        <f t="shared" si="10"/>
        <v>1215</v>
      </c>
      <c r="C11" s="72">
        <f t="shared" si="11"/>
        <v>1512</v>
      </c>
      <c r="D11" s="72">
        <f t="shared" si="12"/>
        <v>1695</v>
      </c>
      <c r="E11" s="73">
        <f t="shared" si="13"/>
        <v>0.4</v>
      </c>
      <c r="F11" s="74">
        <f t="shared" si="14"/>
        <v>0.1142</v>
      </c>
      <c r="G11" s="74">
        <f t="shared" si="15"/>
        <v>0.02</v>
      </c>
      <c r="H11" s="17">
        <f t="shared" si="16"/>
        <v>10</v>
      </c>
      <c r="I11" s="74">
        <f t="shared" si="17"/>
        <v>0.27531131564699513</v>
      </c>
      <c r="J11" s="62">
        <f t="shared" si="0"/>
        <v>8905.4290718038537</v>
      </c>
      <c r="K11" s="71">
        <v>0.01</v>
      </c>
      <c r="L11" s="63">
        <f t="shared" si="18"/>
        <v>0.37</v>
      </c>
      <c r="M11" s="64">
        <f t="shared" si="19"/>
        <v>57944.153559127612</v>
      </c>
      <c r="N11" s="65">
        <f t="shared" si="1"/>
        <v>66849.582630931458</v>
      </c>
      <c r="O11" s="65">
        <f t="shared" si="2"/>
        <v>67146.582630931458</v>
      </c>
      <c r="P11" s="65">
        <f t="shared" si="3"/>
        <v>60797.570928196146</v>
      </c>
      <c r="Q11" s="65">
        <f t="shared" si="4"/>
        <v>57944.153559127612</v>
      </c>
      <c r="R11" s="48">
        <f t="shared" si="7"/>
        <v>2853.4173690685348</v>
      </c>
      <c r="S11" s="124" t="str">
        <f t="shared" si="5"/>
        <v/>
      </c>
      <c r="T11" s="54">
        <f t="shared" si="8"/>
        <v>0</v>
      </c>
      <c r="U11" s="67">
        <f t="array" ref="U11:AA11">GROWTH_WORTH_CALC_FUNC(D11,E11,F11,G11,H11,I11,L11)</f>
        <v>66849.582630931458</v>
      </c>
      <c r="V11" s="6">
        <v>211573.21832744402</v>
      </c>
      <c r="W11" s="6">
        <v>19930.197166445225</v>
      </c>
      <c r="X11" s="6">
        <v>24161.661532994105</v>
      </c>
      <c r="Y11" s="6">
        <v>-4901.6144444061165</v>
      </c>
      <c r="Z11" s="6">
        <v>0.17513134851138354</v>
      </c>
      <c r="AA11" s="6">
        <v>1.3439331366764995</v>
      </c>
    </row>
    <row r="12" spans="1:28">
      <c r="A12" s="72">
        <f t="shared" si="9"/>
        <v>70000</v>
      </c>
      <c r="B12" s="72">
        <f t="shared" si="10"/>
        <v>1215</v>
      </c>
      <c r="C12" s="72">
        <f t="shared" si="11"/>
        <v>1512</v>
      </c>
      <c r="D12" s="72">
        <f t="shared" si="12"/>
        <v>1695</v>
      </c>
      <c r="E12" s="73">
        <f t="shared" si="13"/>
        <v>0.4</v>
      </c>
      <c r="F12" s="74">
        <f t="shared" si="14"/>
        <v>0.1142</v>
      </c>
      <c r="G12" s="74">
        <f t="shared" si="15"/>
        <v>0.02</v>
      </c>
      <c r="H12" s="17">
        <f t="shared" si="16"/>
        <v>10</v>
      </c>
      <c r="I12" s="74">
        <f t="shared" si="17"/>
        <v>0.27531131564699513</v>
      </c>
      <c r="J12" s="62">
        <f t="shared" si="0"/>
        <v>8905.4290718038537</v>
      </c>
      <c r="K12" s="71">
        <v>1E-3</v>
      </c>
      <c r="L12" s="63">
        <f t="shared" si="18"/>
        <v>0.371</v>
      </c>
      <c r="M12" s="64">
        <f t="shared" si="19"/>
        <v>58359.775783910889</v>
      </c>
      <c r="N12" s="65">
        <f t="shared" si="1"/>
        <v>67265.20485571475</v>
      </c>
      <c r="O12" s="65">
        <f t="shared" si="2"/>
        <v>67562.20485571475</v>
      </c>
      <c r="P12" s="65">
        <f t="shared" si="3"/>
        <v>60797.570928196146</v>
      </c>
      <c r="Q12" s="65">
        <f t="shared" si="4"/>
        <v>58359.775783910889</v>
      </c>
      <c r="R12" s="48">
        <f t="shared" si="7"/>
        <v>2437.7951442852573</v>
      </c>
      <c r="S12" s="124" t="str">
        <f t="shared" si="5"/>
        <v/>
      </c>
      <c r="T12" s="54">
        <f t="shared" si="8"/>
        <v>0</v>
      </c>
      <c r="U12" s="67">
        <f t="array" ref="U12:AA12">GROWTH_WORTH_CALC_FUNC(D12,E12,F12,G12,H12,I12,L12)</f>
        <v>67265.204855714735</v>
      </c>
      <c r="V12" s="6">
        <v>213122.63089154658</v>
      </c>
      <c r="W12" s="6">
        <v>20076.151829983686</v>
      </c>
      <c r="X12" s="6">
        <v>24338.604447814618</v>
      </c>
      <c r="Y12" s="6">
        <v>-5011.4472234119648</v>
      </c>
      <c r="Z12" s="6">
        <v>0.17513134851138354</v>
      </c>
      <c r="AA12" s="6">
        <v>1.3475653883972467</v>
      </c>
    </row>
    <row r="13" spans="1:28">
      <c r="A13" s="72">
        <f t="shared" si="9"/>
        <v>70000</v>
      </c>
      <c r="B13" s="72">
        <f t="shared" si="10"/>
        <v>1215</v>
      </c>
      <c r="C13" s="72">
        <f t="shared" si="11"/>
        <v>1512</v>
      </c>
      <c r="D13" s="72">
        <f t="shared" si="12"/>
        <v>1695</v>
      </c>
      <c r="E13" s="73">
        <f t="shared" si="13"/>
        <v>0.4</v>
      </c>
      <c r="F13" s="74">
        <f t="shared" si="14"/>
        <v>0.1142</v>
      </c>
      <c r="G13" s="74">
        <f t="shared" si="15"/>
        <v>0.02</v>
      </c>
      <c r="H13" s="17">
        <f t="shared" si="16"/>
        <v>10</v>
      </c>
      <c r="I13" s="74">
        <f t="shared" si="17"/>
        <v>0.27531131564699513</v>
      </c>
      <c r="J13" s="62">
        <f t="shared" si="0"/>
        <v>8905.4290718038537</v>
      </c>
      <c r="K13" s="71">
        <v>1E-3</v>
      </c>
      <c r="L13" s="63">
        <f t="shared" si="18"/>
        <v>0.372</v>
      </c>
      <c r="M13" s="64">
        <f t="shared" si="19"/>
        <v>58777.971682252937</v>
      </c>
      <c r="N13" s="65">
        <f t="shared" si="1"/>
        <v>67683.400754056784</v>
      </c>
      <c r="O13" s="65">
        <f t="shared" si="2"/>
        <v>67980.400754056784</v>
      </c>
      <c r="P13" s="65">
        <f t="shared" si="3"/>
        <v>60797.570928196146</v>
      </c>
      <c r="Q13" s="65">
        <f t="shared" si="4"/>
        <v>58777.971682252937</v>
      </c>
      <c r="R13" s="48">
        <f t="shared" si="7"/>
        <v>2019.5992459432091</v>
      </c>
      <c r="S13" s="124" t="str">
        <f t="shared" si="5"/>
        <v/>
      </c>
      <c r="T13" s="54">
        <f t="shared" si="8"/>
        <v>0</v>
      </c>
      <c r="U13" s="67">
        <f t="array" ref="U13:AA13">GROWTH_WORTH_CALC_FUNC(D13,E13,F13,G13,H13,I13,L13)</f>
        <v>67683.400754056784</v>
      </c>
      <c r="V13" s="6">
        <v>214682.24810877271</v>
      </c>
      <c r="W13" s="6">
        <v>20223.067771846388</v>
      </c>
      <c r="X13" s="6">
        <v>24516.712734021843</v>
      </c>
      <c r="Y13" s="6">
        <v>-5122.1670507932558</v>
      </c>
      <c r="Z13" s="6">
        <v>0.17513134851138354</v>
      </c>
      <c r="AA13" s="6">
        <v>1.3511976401179941</v>
      </c>
    </row>
    <row r="14" spans="1:28">
      <c r="A14" s="72">
        <f t="shared" si="9"/>
        <v>70000</v>
      </c>
      <c r="B14" s="72">
        <f t="shared" si="10"/>
        <v>1215</v>
      </c>
      <c r="C14" s="72">
        <f t="shared" si="11"/>
        <v>1512</v>
      </c>
      <c r="D14" s="72">
        <f t="shared" si="12"/>
        <v>1695</v>
      </c>
      <c r="E14" s="73">
        <f t="shared" si="13"/>
        <v>0.4</v>
      </c>
      <c r="F14" s="74">
        <f t="shared" si="14"/>
        <v>0.1142</v>
      </c>
      <c r="G14" s="74">
        <f t="shared" si="15"/>
        <v>0.02</v>
      </c>
      <c r="H14" s="17">
        <f t="shared" si="16"/>
        <v>10</v>
      </c>
      <c r="I14" s="74">
        <f t="shared" si="17"/>
        <v>0.27531131564699513</v>
      </c>
      <c r="J14" s="62">
        <f t="shared" si="0"/>
        <v>8905.4290718038537</v>
      </c>
      <c r="K14" s="71">
        <v>1E-3</v>
      </c>
      <c r="L14" s="63">
        <f t="shared" si="18"/>
        <v>0.373</v>
      </c>
      <c r="M14" s="64">
        <f t="shared" si="19"/>
        <v>59198.755716910709</v>
      </c>
      <c r="N14" s="65">
        <f t="shared" si="1"/>
        <v>68104.18478871457</v>
      </c>
      <c r="O14" s="65">
        <f t="shared" si="2"/>
        <v>68401.18478871457</v>
      </c>
      <c r="P14" s="65">
        <f>(A14+B14-C14-J14)</f>
        <v>60797.570928196146</v>
      </c>
      <c r="Q14" s="65">
        <f t="shared" si="4"/>
        <v>59198.755716910709</v>
      </c>
      <c r="R14" s="48">
        <f t="shared" si="7"/>
        <v>1598.8152112854368</v>
      </c>
      <c r="S14" s="124" t="str">
        <f t="shared" si="5"/>
        <v/>
      </c>
      <c r="T14" s="54">
        <f t="shared" si="8"/>
        <v>0</v>
      </c>
      <c r="U14" s="67">
        <f t="array" ref="U14:AA14">GROWTH_WORTH_CALC_FUNC(D14,E14,F14,G14,H14,I14,L14)</f>
        <v>68104.184788714556</v>
      </c>
      <c r="V14" s="6">
        <v>216252.12967707208</v>
      </c>
      <c r="W14" s="6">
        <v>20370.95061558019</v>
      </c>
      <c r="X14" s="6">
        <v>24695.993209121632</v>
      </c>
      <c r="Y14" s="6">
        <v>-5233.7797092635246</v>
      </c>
      <c r="Z14" s="6">
        <v>0.17513134851138354</v>
      </c>
      <c r="AA14" s="6">
        <v>1.3548298918387414</v>
      </c>
    </row>
    <row r="15" spans="1:28">
      <c r="A15" s="72">
        <f t="shared" si="9"/>
        <v>70000</v>
      </c>
      <c r="B15" s="72">
        <f t="shared" si="10"/>
        <v>1215</v>
      </c>
      <c r="C15" s="72">
        <f t="shared" si="11"/>
        <v>1512</v>
      </c>
      <c r="D15" s="72">
        <f t="shared" si="12"/>
        <v>1695</v>
      </c>
      <c r="E15" s="73">
        <f t="shared" si="13"/>
        <v>0.4</v>
      </c>
      <c r="F15" s="74">
        <f t="shared" si="14"/>
        <v>0.1142</v>
      </c>
      <c r="G15" s="74">
        <f t="shared" si="15"/>
        <v>0.02</v>
      </c>
      <c r="H15" s="17">
        <f t="shared" si="16"/>
        <v>10</v>
      </c>
      <c r="I15" s="74">
        <f t="shared" si="17"/>
        <v>0.27531131564699513</v>
      </c>
      <c r="J15" s="62">
        <f t="shared" si="0"/>
        <v>8905.4290718038537</v>
      </c>
      <c r="K15" s="71">
        <v>1E-3</v>
      </c>
      <c r="L15" s="63">
        <f t="shared" si="18"/>
        <v>0.374</v>
      </c>
      <c r="M15" s="64">
        <f t="shared" si="19"/>
        <v>59622.142422519297</v>
      </c>
      <c r="N15" s="65">
        <f t="shared" si="1"/>
        <v>68527.571494323143</v>
      </c>
      <c r="O15" s="65">
        <f t="shared" si="2"/>
        <v>68824.571494323143</v>
      </c>
      <c r="P15" s="65">
        <f t="shared" si="3"/>
        <v>60797.570928196146</v>
      </c>
      <c r="Q15" s="65">
        <f t="shared" si="4"/>
        <v>59622.142422519297</v>
      </c>
      <c r="R15" s="48">
        <f t="shared" si="7"/>
        <v>1175.4285056768495</v>
      </c>
      <c r="S15" s="124" t="str">
        <f t="shared" si="5"/>
        <v/>
      </c>
      <c r="T15" s="54">
        <f t="shared" si="8"/>
        <v>0</v>
      </c>
      <c r="U15" s="67">
        <f t="array" ref="U15:AA15">GROWTH_WORTH_CALC_FUNC(D15,E15,F15,G15,H15,I15,L15)</f>
        <v>68527.571494323143</v>
      </c>
      <c r="V15" s="6">
        <v>217832.33559975313</v>
      </c>
      <c r="W15" s="6">
        <v>20519.806013496745</v>
      </c>
      <c r="X15" s="6">
        <v>24876.45272549181</v>
      </c>
      <c r="Y15" s="6">
        <v>-5346.2910132150455</v>
      </c>
      <c r="Z15" s="6">
        <v>0.17513134851138354</v>
      </c>
      <c r="AA15" s="6">
        <v>1.3584621435594888</v>
      </c>
    </row>
    <row r="16" spans="1:28">
      <c r="A16" s="72">
        <f t="shared" si="9"/>
        <v>70000</v>
      </c>
      <c r="B16" s="72">
        <f t="shared" si="10"/>
        <v>1215</v>
      </c>
      <c r="C16" s="72">
        <f t="shared" si="11"/>
        <v>1512</v>
      </c>
      <c r="D16" s="72">
        <f t="shared" si="12"/>
        <v>1695</v>
      </c>
      <c r="E16" s="73">
        <f t="shared" si="13"/>
        <v>0.4</v>
      </c>
      <c r="F16" s="74">
        <f t="shared" si="14"/>
        <v>0.1142</v>
      </c>
      <c r="G16" s="74">
        <f t="shared" si="15"/>
        <v>0.02</v>
      </c>
      <c r="H16" s="17">
        <f t="shared" si="16"/>
        <v>10</v>
      </c>
      <c r="I16" s="74">
        <f t="shared" si="17"/>
        <v>0.27531131564699513</v>
      </c>
      <c r="J16" s="62">
        <f t="shared" si="0"/>
        <v>8905.4290718038537</v>
      </c>
      <c r="K16" s="71">
        <v>1E-3</v>
      </c>
      <c r="L16" s="63">
        <f t="shared" si="18"/>
        <v>0.375</v>
      </c>
      <c r="M16" s="64">
        <f t="shared" si="19"/>
        <v>60048.146405900297</v>
      </c>
      <c r="N16" s="65">
        <f t="shared" si="1"/>
        <v>68953.575477704144</v>
      </c>
      <c r="O16" s="65">
        <f t="shared" si="2"/>
        <v>69250.575477704144</v>
      </c>
      <c r="P16" s="65">
        <f t="shared" si="3"/>
        <v>60797.570928196146</v>
      </c>
      <c r="Q16" s="65">
        <f t="shared" si="4"/>
        <v>60048.146405900297</v>
      </c>
      <c r="R16" s="48">
        <f t="shared" si="7"/>
        <v>749.42452229584887</v>
      </c>
      <c r="S16" s="124" t="str">
        <f t="shared" si="5"/>
        <v/>
      </c>
      <c r="T16" s="54">
        <f t="shared" si="8"/>
        <v>0</v>
      </c>
      <c r="U16" s="67">
        <f t="array" ref="U16:AA16">GROWTH_WORTH_CALC_FUNC(D16,E16,F16,G16,H16,I16,L16)</f>
        <v>68953.575477704144</v>
      </c>
      <c r="V16" s="6">
        <v>219422.9261868216</v>
      </c>
      <c r="W16" s="6">
        <v>20669.639646798594</v>
      </c>
      <c r="X16" s="6">
        <v>25058.098170535024</v>
      </c>
      <c r="Y16" s="6">
        <v>-5459.7068088643809</v>
      </c>
      <c r="Z16" s="6">
        <v>0.17513134851138354</v>
      </c>
      <c r="AA16" s="6">
        <v>1.362094395280236</v>
      </c>
    </row>
    <row r="17" spans="1:27">
      <c r="A17" s="72">
        <f t="shared" si="9"/>
        <v>70000</v>
      </c>
      <c r="B17" s="72">
        <f t="shared" si="10"/>
        <v>1215</v>
      </c>
      <c r="C17" s="72">
        <f t="shared" si="11"/>
        <v>1512</v>
      </c>
      <c r="D17" s="72">
        <f t="shared" si="12"/>
        <v>1695</v>
      </c>
      <c r="E17" s="73">
        <f t="shared" si="13"/>
        <v>0.4</v>
      </c>
      <c r="F17" s="74">
        <f t="shared" si="14"/>
        <v>0.1142</v>
      </c>
      <c r="G17" s="74">
        <f t="shared" si="15"/>
        <v>0.02</v>
      </c>
      <c r="H17" s="17">
        <f t="shared" si="16"/>
        <v>10</v>
      </c>
      <c r="I17" s="74">
        <f t="shared" si="17"/>
        <v>0.27531131564699513</v>
      </c>
      <c r="J17" s="62">
        <f t="shared" si="0"/>
        <v>8905.4290718038537</v>
      </c>
      <c r="K17" s="71">
        <v>1E-3</v>
      </c>
      <c r="L17" s="63">
        <f t="shared" si="18"/>
        <v>0.376</v>
      </c>
      <c r="M17" s="64">
        <f t="shared" si="19"/>
        <v>60476.78234637119</v>
      </c>
      <c r="N17" s="65">
        <f t="shared" si="1"/>
        <v>69382.211418175051</v>
      </c>
      <c r="O17" s="65">
        <f t="shared" si="2"/>
        <v>69679.211418175051</v>
      </c>
      <c r="P17" s="65">
        <f t="shared" si="3"/>
        <v>60797.570928196146</v>
      </c>
      <c r="Q17" s="65">
        <f t="shared" si="4"/>
        <v>60476.78234637119</v>
      </c>
      <c r="R17" s="48">
        <f t="shared" si="7"/>
        <v>320.78858182495605</v>
      </c>
      <c r="S17" s="124" t="str">
        <f t="shared" si="5"/>
        <v/>
      </c>
      <c r="T17" s="54">
        <f t="shared" si="8"/>
        <v>0</v>
      </c>
      <c r="U17" s="67">
        <f t="array" ref="U17:AA17">GROWTH_WORTH_CALC_FUNC(D17,E17,F17,G17,H17,I17,L17)</f>
        <v>69382.211418175037</v>
      </c>
      <c r="V17" s="6">
        <v>221023.9620563238</v>
      </c>
      <c r="W17" s="6">
        <v>20820.457225705701</v>
      </c>
      <c r="X17" s="6">
        <v>25240.936466832176</v>
      </c>
      <c r="Y17" s="6">
        <v>-5574.0329743985467</v>
      </c>
      <c r="Z17" s="6">
        <v>0.17513134851138354</v>
      </c>
      <c r="AA17" s="6">
        <v>1.3657266470009832</v>
      </c>
    </row>
    <row r="18" spans="1:27">
      <c r="A18" s="72">
        <f t="shared" si="9"/>
        <v>70000</v>
      </c>
      <c r="B18" s="72">
        <f t="shared" si="10"/>
        <v>1215</v>
      </c>
      <c r="C18" s="72">
        <f t="shared" si="11"/>
        <v>1512</v>
      </c>
      <c r="D18" s="72">
        <f t="shared" si="12"/>
        <v>1695</v>
      </c>
      <c r="E18" s="73">
        <f t="shared" si="13"/>
        <v>0.4</v>
      </c>
      <c r="F18" s="74">
        <f t="shared" si="14"/>
        <v>0.1142</v>
      </c>
      <c r="G18" s="74">
        <f t="shared" si="15"/>
        <v>0.02</v>
      </c>
      <c r="H18" s="17">
        <f t="shared" si="16"/>
        <v>10</v>
      </c>
      <c r="I18" s="74">
        <f t="shared" si="17"/>
        <v>0.27531131564699513</v>
      </c>
      <c r="J18" s="62">
        <f t="shared" si="0"/>
        <v>8905.4290718038537</v>
      </c>
      <c r="K18" s="71">
        <v>1E-4</v>
      </c>
      <c r="L18" s="63">
        <f t="shared" si="18"/>
        <v>0.37609999999999999</v>
      </c>
      <c r="M18" s="64">
        <f t="shared" si="19"/>
        <v>60519.791265382759</v>
      </c>
      <c r="N18" s="65">
        <f t="shared" si="1"/>
        <v>69425.22033718662</v>
      </c>
      <c r="O18" s="65">
        <f t="shared" si="2"/>
        <v>69722.22033718662</v>
      </c>
      <c r="P18" s="65">
        <f t="shared" si="3"/>
        <v>60797.570928196146</v>
      </c>
      <c r="Q18" s="65">
        <f t="shared" si="4"/>
        <v>60519.791265382759</v>
      </c>
      <c r="R18" s="48">
        <f t="shared" si="7"/>
        <v>277.7796628133874</v>
      </c>
      <c r="S18" s="124" t="str">
        <f t="shared" si="5"/>
        <v/>
      </c>
      <c r="T18" s="54">
        <f t="shared" si="8"/>
        <v>0</v>
      </c>
      <c r="U18" s="67">
        <f t="array" ref="U18:AA18">GROWTH_WORTH_CALC_FUNC(D18,E18,F18,G18,H18,I18,L18)</f>
        <v>69425.220337186605</v>
      </c>
      <c r="V18" s="6">
        <v>221184.64247682711</v>
      </c>
      <c r="W18" s="6">
        <v>20835.593321317112</v>
      </c>
      <c r="X18" s="6">
        <v>25259.286170853655</v>
      </c>
      <c r="Y18" s="6">
        <v>-5585.5158885633273</v>
      </c>
      <c r="Z18" s="6">
        <v>0.17513134851138354</v>
      </c>
      <c r="AA18" s="6">
        <v>1.3660898721730579</v>
      </c>
    </row>
    <row r="19" spans="1:27">
      <c r="A19" s="72">
        <f t="shared" si="9"/>
        <v>70000</v>
      </c>
      <c r="B19" s="72">
        <f t="shared" si="10"/>
        <v>1215</v>
      </c>
      <c r="C19" s="72">
        <f t="shared" si="11"/>
        <v>1512</v>
      </c>
      <c r="D19" s="72">
        <f t="shared" si="12"/>
        <v>1695</v>
      </c>
      <c r="E19" s="73">
        <f t="shared" si="13"/>
        <v>0.4</v>
      </c>
      <c r="F19" s="74">
        <f t="shared" si="14"/>
        <v>0.1142</v>
      </c>
      <c r="G19" s="74">
        <f t="shared" si="15"/>
        <v>0.02</v>
      </c>
      <c r="H19" s="17">
        <f t="shared" si="16"/>
        <v>10</v>
      </c>
      <c r="I19" s="74">
        <f t="shared" si="17"/>
        <v>0.27531131564699513</v>
      </c>
      <c r="J19" s="62">
        <f t="shared" si="0"/>
        <v>8905.4290718038537</v>
      </c>
      <c r="K19" s="71">
        <v>1E-4</v>
      </c>
      <c r="L19" s="63">
        <f t="shared" si="18"/>
        <v>0.37619999999999998</v>
      </c>
      <c r="M19" s="64">
        <f t="shared" si="19"/>
        <v>60562.826666218134</v>
      </c>
      <c r="N19" s="65">
        <f t="shared" si="1"/>
        <v>69468.255738021981</v>
      </c>
      <c r="O19" s="65">
        <f t="shared" si="2"/>
        <v>69765.255738021981</v>
      </c>
      <c r="P19" s="65">
        <f t="shared" si="3"/>
        <v>60797.570928196146</v>
      </c>
      <c r="Q19" s="65">
        <f t="shared" si="4"/>
        <v>60562.826666218134</v>
      </c>
      <c r="R19" s="48">
        <f t="shared" si="7"/>
        <v>234.74426197801222</v>
      </c>
      <c r="S19" s="124" t="str">
        <f t="shared" si="5"/>
        <v/>
      </c>
      <c r="T19" s="54">
        <f t="shared" si="8"/>
        <v>0</v>
      </c>
      <c r="U19" s="67">
        <f t="array" ref="U19:AA19">GROWTH_WORTH_CALC_FUNC(D19,E19,F19,G19,H19,I19,L19)</f>
        <v>69468.255738021981</v>
      </c>
      <c r="V19" s="6">
        <v>221345.42802027002</v>
      </c>
      <c r="W19" s="6">
        <v>20850.739319509434</v>
      </c>
      <c r="X19" s="6">
        <v>25277.647879914835</v>
      </c>
      <c r="Y19" s="6">
        <v>-5597.0079714314024</v>
      </c>
      <c r="Z19" s="6">
        <v>0.17513134851138354</v>
      </c>
      <c r="AA19" s="6">
        <v>1.3664530973451328</v>
      </c>
    </row>
    <row r="20" spans="1:27">
      <c r="A20" s="72">
        <f t="shared" si="9"/>
        <v>70000</v>
      </c>
      <c r="B20" s="72">
        <f t="shared" si="10"/>
        <v>1215</v>
      </c>
      <c r="C20" s="72">
        <f t="shared" si="11"/>
        <v>1512</v>
      </c>
      <c r="D20" s="72">
        <f t="shared" si="12"/>
        <v>1695</v>
      </c>
      <c r="E20" s="73">
        <f t="shared" si="13"/>
        <v>0.4</v>
      </c>
      <c r="F20" s="74">
        <f t="shared" si="14"/>
        <v>0.1142</v>
      </c>
      <c r="G20" s="74">
        <f t="shared" si="15"/>
        <v>0.02</v>
      </c>
      <c r="H20" s="17">
        <f t="shared" si="16"/>
        <v>10</v>
      </c>
      <c r="I20" s="74">
        <f t="shared" si="17"/>
        <v>0.27531131564699513</v>
      </c>
      <c r="J20" s="62">
        <f t="shared" si="0"/>
        <v>8905.4290718038537</v>
      </c>
      <c r="K20" s="71">
        <v>1E-4</v>
      </c>
      <c r="L20" s="63">
        <f t="shared" si="18"/>
        <v>0.37629999999999997</v>
      </c>
      <c r="M20" s="64">
        <f t="shared" si="19"/>
        <v>60605.888563677399</v>
      </c>
      <c r="N20" s="65">
        <f t="shared" si="1"/>
        <v>69511.317635481246</v>
      </c>
      <c r="O20" s="65">
        <f t="shared" si="2"/>
        <v>69808.317635481246</v>
      </c>
      <c r="P20" s="65">
        <f t="shared" si="3"/>
        <v>60797.570928196146</v>
      </c>
      <c r="Q20" s="65">
        <f t="shared" si="4"/>
        <v>60605.888563677399</v>
      </c>
      <c r="R20" s="48">
        <f t="shared" si="7"/>
        <v>191.68236451874691</v>
      </c>
      <c r="S20" s="124" t="str">
        <f t="shared" si="5"/>
        <v/>
      </c>
      <c r="T20" s="54">
        <f t="shared" si="8"/>
        <v>0</v>
      </c>
      <c r="U20" s="67">
        <f t="array" ref="U20:AA20">GROWTH_WORTH_CALC_FUNC(D20,E20,F20,G20,H20,I20,L20)</f>
        <v>69511.317635481246</v>
      </c>
      <c r="V20" s="6">
        <v>221506.31874778302</v>
      </c>
      <c r="W20" s="6">
        <v>20865.895226041161</v>
      </c>
      <c r="X20" s="6">
        <v>25296.021600996821</v>
      </c>
      <c r="Y20" s="6">
        <v>-5608.5092289339973</v>
      </c>
      <c r="Z20" s="6">
        <v>0.17513134851138354</v>
      </c>
      <c r="AA20" s="6">
        <v>1.3668163225172074</v>
      </c>
    </row>
    <row r="21" spans="1:27">
      <c r="A21" s="72">
        <f t="shared" si="9"/>
        <v>70000</v>
      </c>
      <c r="B21" s="72">
        <f t="shared" si="10"/>
        <v>1215</v>
      </c>
      <c r="C21" s="72">
        <f t="shared" si="11"/>
        <v>1512</v>
      </c>
      <c r="D21" s="72">
        <f t="shared" si="12"/>
        <v>1695</v>
      </c>
      <c r="E21" s="73">
        <f t="shared" si="13"/>
        <v>0.4</v>
      </c>
      <c r="F21" s="74">
        <f t="shared" si="14"/>
        <v>0.1142</v>
      </c>
      <c r="G21" s="74">
        <f t="shared" si="15"/>
        <v>0.02</v>
      </c>
      <c r="H21" s="17">
        <f t="shared" si="16"/>
        <v>10</v>
      </c>
      <c r="I21" s="74">
        <f t="shared" si="17"/>
        <v>0.27531131564699513</v>
      </c>
      <c r="J21" s="62">
        <f t="shared" si="0"/>
        <v>8905.4290718038537</v>
      </c>
      <c r="K21" s="71">
        <v>1E-4</v>
      </c>
      <c r="L21" s="63">
        <f t="shared" si="18"/>
        <v>0.37639999999999996</v>
      </c>
      <c r="M21" s="64">
        <f t="shared" si="19"/>
        <v>60648.976972566983</v>
      </c>
      <c r="N21" s="65">
        <f t="shared" si="1"/>
        <v>69554.406044370844</v>
      </c>
      <c r="O21" s="65">
        <f t="shared" si="2"/>
        <v>69851.406044370844</v>
      </c>
      <c r="P21" s="65">
        <f t="shared" si="3"/>
        <v>60797.570928196146</v>
      </c>
      <c r="Q21" s="65">
        <f t="shared" si="4"/>
        <v>60648.976972566983</v>
      </c>
      <c r="R21" s="48">
        <f t="shared" si="7"/>
        <v>148.59395562916325</v>
      </c>
      <c r="S21" s="124" t="str">
        <f t="shared" si="5"/>
        <v/>
      </c>
      <c r="T21" s="54">
        <f t="shared" si="8"/>
        <v>0</v>
      </c>
      <c r="U21" s="67">
        <f t="array" ref="U21:AA21">GROWTH_WORTH_CALC_FUNC(D21,E21,F21,G21,H21,I21,L21)</f>
        <v>69554.406044370829</v>
      </c>
      <c r="V21" s="6">
        <v>221667.31472052497</v>
      </c>
      <c r="W21" s="6">
        <v>20881.061046673451</v>
      </c>
      <c r="X21" s="6">
        <v>25314.407341083952</v>
      </c>
      <c r="Y21" s="6">
        <v>-5620.0196670055857</v>
      </c>
      <c r="Z21" s="6">
        <v>0.17513134851138354</v>
      </c>
      <c r="AA21" s="6">
        <v>1.3671795476892821</v>
      </c>
    </row>
    <row r="22" spans="1:27">
      <c r="A22" s="72">
        <f t="shared" si="9"/>
        <v>70000</v>
      </c>
      <c r="B22" s="72">
        <f t="shared" si="10"/>
        <v>1215</v>
      </c>
      <c r="C22" s="72">
        <f t="shared" si="11"/>
        <v>1512</v>
      </c>
      <c r="D22" s="72">
        <f t="shared" si="12"/>
        <v>1695</v>
      </c>
      <c r="E22" s="73">
        <f t="shared" si="13"/>
        <v>0.4</v>
      </c>
      <c r="F22" s="74">
        <f t="shared" si="14"/>
        <v>0.1142</v>
      </c>
      <c r="G22" s="74">
        <f t="shared" si="15"/>
        <v>0.02</v>
      </c>
      <c r="H22" s="17">
        <f t="shared" si="16"/>
        <v>10</v>
      </c>
      <c r="I22" s="74">
        <f t="shared" si="17"/>
        <v>0.27531131564699513</v>
      </c>
      <c r="J22" s="62">
        <f t="shared" si="0"/>
        <v>8905.4290718038537</v>
      </c>
      <c r="K22" s="71">
        <v>1E-4</v>
      </c>
      <c r="L22" s="63">
        <f t="shared" si="18"/>
        <v>0.37649999999999995</v>
      </c>
      <c r="M22" s="64">
        <f t="shared" si="19"/>
        <v>60692.091907701564</v>
      </c>
      <c r="N22" s="65">
        <f t="shared" si="1"/>
        <v>69597.520979505411</v>
      </c>
      <c r="O22" s="65">
        <f t="shared" si="2"/>
        <v>69894.520979505411</v>
      </c>
      <c r="P22" s="65">
        <f t="shared" si="3"/>
        <v>60797.570928196146</v>
      </c>
      <c r="Q22" s="65">
        <f t="shared" si="4"/>
        <v>60692.091907701564</v>
      </c>
      <c r="R22" s="48">
        <f t="shared" si="7"/>
        <v>105.47902049458207</v>
      </c>
      <c r="S22" s="124" t="str">
        <f t="shared" si="5"/>
        <v/>
      </c>
      <c r="T22" s="54">
        <f t="shared" si="8"/>
        <v>0</v>
      </c>
      <c r="U22" s="67">
        <f t="array" ref="U22:AA22">GROWTH_WORTH_CALC_FUNC(D22,E22,F22,G22,H22,I22,L22)</f>
        <v>69597.520979505411</v>
      </c>
      <c r="V22" s="6">
        <v>221828.41599968853</v>
      </c>
      <c r="W22" s="6">
        <v>20896.236787170659</v>
      </c>
      <c r="X22" s="6">
        <v>25332.80510716443</v>
      </c>
      <c r="Y22" s="6">
        <v>-5631.5392915838729</v>
      </c>
      <c r="Z22" s="6">
        <v>0.17513134851138354</v>
      </c>
      <c r="AA22" s="6">
        <v>1.3675427728613567</v>
      </c>
    </row>
    <row r="23" spans="1:27">
      <c r="A23" s="72">
        <f t="shared" si="9"/>
        <v>70000</v>
      </c>
      <c r="B23" s="72">
        <f t="shared" si="10"/>
        <v>1215</v>
      </c>
      <c r="C23" s="72">
        <f t="shared" si="11"/>
        <v>1512</v>
      </c>
      <c r="D23" s="72">
        <f t="shared" si="12"/>
        <v>1695</v>
      </c>
      <c r="E23" s="73">
        <f t="shared" si="13"/>
        <v>0.4</v>
      </c>
      <c r="F23" s="74">
        <f t="shared" si="14"/>
        <v>0.1142</v>
      </c>
      <c r="G23" s="74">
        <f t="shared" si="15"/>
        <v>0.02</v>
      </c>
      <c r="H23" s="17">
        <f t="shared" si="16"/>
        <v>10</v>
      </c>
      <c r="I23" s="74">
        <f t="shared" si="17"/>
        <v>0.27531131564699513</v>
      </c>
      <c r="J23" s="62">
        <f t="shared" si="0"/>
        <v>8905.4290718038537</v>
      </c>
      <c r="K23" s="71">
        <v>1E-4</v>
      </c>
      <c r="L23" s="63">
        <f t="shared" si="18"/>
        <v>0.37659999999999993</v>
      </c>
      <c r="M23" s="64">
        <f t="shared" si="19"/>
        <v>60735.233383902196</v>
      </c>
      <c r="N23" s="65">
        <f t="shared" si="1"/>
        <v>69640.662455706042</v>
      </c>
      <c r="O23" s="65">
        <f t="shared" si="2"/>
        <v>69937.662455706042</v>
      </c>
      <c r="P23" s="65">
        <f t="shared" si="3"/>
        <v>60797.570928196146</v>
      </c>
      <c r="Q23" s="65">
        <f t="shared" si="4"/>
        <v>60735.233383902196</v>
      </c>
      <c r="R23" s="48">
        <f t="shared" si="7"/>
        <v>62.337544293950486</v>
      </c>
      <c r="S23" s="124" t="str">
        <f t="shared" si="5"/>
        <v/>
      </c>
      <c r="T23" s="54">
        <f t="shared" si="8"/>
        <v>0</v>
      </c>
      <c r="U23" s="67">
        <f t="array" ref="U23:AA23">GROWTH_WORTH_CALC_FUNC(D23,E23,F23,G23,H23,I23,L23)</f>
        <v>69640.662455706042</v>
      </c>
      <c r="V23" s="6">
        <v>221989.62264649471</v>
      </c>
      <c r="W23" s="6">
        <v>20911.422453299801</v>
      </c>
      <c r="X23" s="6">
        <v>25351.214906229696</v>
      </c>
      <c r="Y23" s="6">
        <v>-5643.0681086097875</v>
      </c>
      <c r="Z23" s="6">
        <v>0.17513134851138354</v>
      </c>
      <c r="AA23" s="6">
        <v>1.3679059980334314</v>
      </c>
    </row>
    <row r="24" spans="1:27">
      <c r="A24" s="72">
        <f t="shared" si="9"/>
        <v>70000</v>
      </c>
      <c r="B24" s="72">
        <f t="shared" si="10"/>
        <v>1215</v>
      </c>
      <c r="C24" s="72">
        <f t="shared" si="11"/>
        <v>1512</v>
      </c>
      <c r="D24" s="72">
        <f t="shared" si="12"/>
        <v>1695</v>
      </c>
      <c r="E24" s="73">
        <f t="shared" si="13"/>
        <v>0.4</v>
      </c>
      <c r="F24" s="74">
        <f t="shared" si="14"/>
        <v>0.1142</v>
      </c>
      <c r="G24" s="74">
        <f t="shared" si="15"/>
        <v>0.02</v>
      </c>
      <c r="H24" s="17">
        <f t="shared" si="16"/>
        <v>10</v>
      </c>
      <c r="I24" s="74">
        <f t="shared" si="17"/>
        <v>0.27531131564699513</v>
      </c>
      <c r="J24" s="62">
        <f t="shared" si="0"/>
        <v>8905.4290718038537</v>
      </c>
      <c r="K24" s="71">
        <v>1E-4</v>
      </c>
      <c r="L24" s="63">
        <f t="shared" si="18"/>
        <v>0.37669999999999992</v>
      </c>
      <c r="M24" s="64">
        <f t="shared" si="19"/>
        <v>60778.40141599824</v>
      </c>
      <c r="N24" s="65">
        <f t="shared" si="1"/>
        <v>69683.830487802101</v>
      </c>
      <c r="O24" s="65">
        <f t="shared" si="2"/>
        <v>69980.830487802101</v>
      </c>
      <c r="P24" s="65">
        <f t="shared" si="3"/>
        <v>60797.570928196146</v>
      </c>
      <c r="Q24" s="65">
        <f t="shared" si="4"/>
        <v>60778.40141599824</v>
      </c>
      <c r="R24" s="48">
        <f t="shared" si="7"/>
        <v>19.169512197906442</v>
      </c>
      <c r="S24" s="124" t="str">
        <f t="shared" si="5"/>
        <v/>
      </c>
      <c r="T24" s="54">
        <f t="shared" si="8"/>
        <v>0</v>
      </c>
      <c r="U24" s="67">
        <f t="array" ref="U24:AA24">GROWTH_WORTH_CALC_FUNC(D24,E24,F24,G24,H24,I24,L24)</f>
        <v>69683.830487802086</v>
      </c>
      <c r="V24" s="6">
        <v>222150.93472219858</v>
      </c>
      <c r="W24" s="6">
        <v>20926.618050831104</v>
      </c>
      <c r="X24" s="6">
        <v>25369.636745275075</v>
      </c>
      <c r="Y24" s="6">
        <v>-5654.6061240274994</v>
      </c>
      <c r="Z24" s="6">
        <v>0.17513134851138354</v>
      </c>
      <c r="AA24" s="6">
        <v>1.368269223205506</v>
      </c>
    </row>
    <row r="25" spans="1:27">
      <c r="A25" s="72">
        <f t="shared" si="9"/>
        <v>70000</v>
      </c>
      <c r="B25" s="72">
        <f t="shared" si="10"/>
        <v>1215</v>
      </c>
      <c r="C25" s="72">
        <f t="shared" si="11"/>
        <v>1512</v>
      </c>
      <c r="D25" s="72">
        <f t="shared" si="12"/>
        <v>1695</v>
      </c>
      <c r="E25" s="73">
        <f t="shared" si="13"/>
        <v>0.4</v>
      </c>
      <c r="F25" s="74">
        <f t="shared" si="14"/>
        <v>0.1142</v>
      </c>
      <c r="G25" s="74">
        <f t="shared" si="15"/>
        <v>0.02</v>
      </c>
      <c r="H25" s="17">
        <f t="shared" si="16"/>
        <v>10</v>
      </c>
      <c r="I25" s="74">
        <f t="shared" si="17"/>
        <v>0.27531131564699513</v>
      </c>
      <c r="J25" s="62">
        <f t="shared" si="0"/>
        <v>8905.4290718038537</v>
      </c>
      <c r="K25" s="71">
        <v>1.0000000000000001E-5</v>
      </c>
      <c r="L25" s="63">
        <f t="shared" si="18"/>
        <v>0.37670999999999993</v>
      </c>
      <c r="M25" s="64">
        <f t="shared" si="19"/>
        <v>60782.71968035309</v>
      </c>
      <c r="N25" s="65">
        <f t="shared" si="1"/>
        <v>69688.148752156936</v>
      </c>
      <c r="O25" s="65">
        <f t="shared" si="2"/>
        <v>69985.148752156936</v>
      </c>
      <c r="P25" s="65">
        <f t="shared" si="3"/>
        <v>60797.570928196146</v>
      </c>
      <c r="Q25" s="65">
        <f t="shared" si="4"/>
        <v>60782.71968035309</v>
      </c>
      <c r="R25" s="48">
        <f t="shared" si="7"/>
        <v>14.851247843056626</v>
      </c>
      <c r="S25" s="124" t="str">
        <f t="shared" si="5"/>
        <v/>
      </c>
      <c r="T25" s="54">
        <f t="shared" si="8"/>
        <v>0</v>
      </c>
      <c r="U25" s="67">
        <f t="array" ref="U25:AA25">GROWTH_WORTH_CALC_FUNC(D25,E25,F25,G25,H25,I25,L25)</f>
        <v>69688.148752156936</v>
      </c>
      <c r="V25" s="6">
        <v>222167.07173071717</v>
      </c>
      <c r="W25" s="6">
        <v>20928.138157033558</v>
      </c>
      <c r="X25" s="6">
        <v>25371.479591647902</v>
      </c>
      <c r="Y25" s="6">
        <v>-5655.7604317097703</v>
      </c>
      <c r="Z25" s="6">
        <v>0.17513134851138354</v>
      </c>
      <c r="AA25" s="6">
        <v>1.3683055457227136</v>
      </c>
    </row>
    <row r="26" spans="1:27">
      <c r="A26" s="72">
        <f t="shared" si="9"/>
        <v>70000</v>
      </c>
      <c r="B26" s="72">
        <f t="shared" si="10"/>
        <v>1215</v>
      </c>
      <c r="C26" s="72">
        <f t="shared" si="11"/>
        <v>1512</v>
      </c>
      <c r="D26" s="72">
        <f t="shared" si="12"/>
        <v>1695</v>
      </c>
      <c r="E26" s="73">
        <f t="shared" si="13"/>
        <v>0.4</v>
      </c>
      <c r="F26" s="74">
        <f t="shared" si="14"/>
        <v>0.1142</v>
      </c>
      <c r="G26" s="74">
        <f t="shared" si="15"/>
        <v>0.02</v>
      </c>
      <c r="H26" s="17">
        <f t="shared" si="16"/>
        <v>10</v>
      </c>
      <c r="I26" s="74">
        <f t="shared" si="17"/>
        <v>0.27531131564699513</v>
      </c>
      <c r="J26" s="62">
        <f t="shared" si="0"/>
        <v>8905.4290718038537</v>
      </c>
      <c r="K26" s="71">
        <v>1.0000000000000001E-5</v>
      </c>
      <c r="L26" s="63">
        <f t="shared" si="18"/>
        <v>0.37671999999999994</v>
      </c>
      <c r="M26" s="64">
        <f t="shared" si="19"/>
        <v>60787.038210430233</v>
      </c>
      <c r="N26" s="65">
        <f t="shared" si="1"/>
        <v>69692.46728223408</v>
      </c>
      <c r="O26" s="65">
        <f t="shared" si="2"/>
        <v>69989.46728223408</v>
      </c>
      <c r="P26" s="65">
        <f t="shared" si="3"/>
        <v>60797.570928196146</v>
      </c>
      <c r="Q26" s="65">
        <f t="shared" si="4"/>
        <v>60787.038210430233</v>
      </c>
      <c r="R26" s="48">
        <f t="shared" si="7"/>
        <v>10.532717765912821</v>
      </c>
      <c r="S26" s="124" t="str">
        <f t="shared" si="5"/>
        <v/>
      </c>
      <c r="T26" s="54">
        <f t="shared" si="8"/>
        <v>0</v>
      </c>
      <c r="U26" s="67">
        <f t="array" ref="U26:AA26">GROWTH_WORTH_CALC_FUNC(D26,E26,F26,G26,H26,I26,L26)</f>
        <v>69692.46728223408</v>
      </c>
      <c r="V26" s="6">
        <v>222183.20979419927</v>
      </c>
      <c r="W26" s="6">
        <v>20929.658362613569</v>
      </c>
      <c r="X26" s="6">
        <v>25373.322558497555</v>
      </c>
      <c r="Y26" s="6">
        <v>-5656.9148314413787</v>
      </c>
      <c r="Z26" s="6">
        <v>0.17513134851138354</v>
      </c>
      <c r="AA26" s="6">
        <v>1.3683418682399211</v>
      </c>
    </row>
    <row r="27" spans="1:27">
      <c r="A27" s="72">
        <f t="shared" si="9"/>
        <v>70000</v>
      </c>
      <c r="B27" s="72">
        <f t="shared" si="10"/>
        <v>1215</v>
      </c>
      <c r="C27" s="72">
        <f t="shared" si="11"/>
        <v>1512</v>
      </c>
      <c r="D27" s="72">
        <f t="shared" si="12"/>
        <v>1695</v>
      </c>
      <c r="E27" s="73">
        <f t="shared" si="13"/>
        <v>0.4</v>
      </c>
      <c r="F27" s="74">
        <f t="shared" si="14"/>
        <v>0.1142</v>
      </c>
      <c r="G27" s="74">
        <f t="shared" si="15"/>
        <v>0.02</v>
      </c>
      <c r="H27" s="17">
        <f t="shared" si="16"/>
        <v>10</v>
      </c>
      <c r="I27" s="74">
        <f t="shared" si="17"/>
        <v>0.27531131564699513</v>
      </c>
      <c r="J27" s="62">
        <f t="shared" si="0"/>
        <v>8905.4290718038537</v>
      </c>
      <c r="K27" s="71">
        <v>1.0000000000000001E-5</v>
      </c>
      <c r="L27" s="63">
        <f t="shared" si="18"/>
        <v>0.37672999999999995</v>
      </c>
      <c r="M27" s="64">
        <f t="shared" si="19"/>
        <v>60791.357006244369</v>
      </c>
      <c r="N27" s="65">
        <f t="shared" si="1"/>
        <v>69696.78607804823</v>
      </c>
      <c r="O27" s="65">
        <f t="shared" si="2"/>
        <v>69993.78607804823</v>
      </c>
      <c r="P27" s="65">
        <f t="shared" si="3"/>
        <v>60797.570928196146</v>
      </c>
      <c r="Q27" s="65">
        <f t="shared" si="4"/>
        <v>60791.357006244369</v>
      </c>
      <c r="R27" s="48">
        <f t="shared" si="7"/>
        <v>6.2139219517775928</v>
      </c>
      <c r="S27" s="124" t="str">
        <f t="shared" si="5"/>
        <v/>
      </c>
      <c r="T27" s="54">
        <f t="shared" si="8"/>
        <v>0</v>
      </c>
      <c r="U27" s="67">
        <f t="array" ref="U27:AA27">GROWTH_WORTH_CALC_FUNC(D27,E27,F27,G27,H27,I27,L27)</f>
        <v>69696.786078048215</v>
      </c>
      <c r="V27" s="6">
        <v>222199.34891270575</v>
      </c>
      <c r="W27" s="6">
        <v>20931.178667576882</v>
      </c>
      <c r="X27" s="6">
        <v>25375.165645830995</v>
      </c>
      <c r="Y27" s="6">
        <v>-5658.069323228272</v>
      </c>
      <c r="Z27" s="6">
        <v>0.17513134851138354</v>
      </c>
      <c r="AA27" s="6">
        <v>1.3683781907571286</v>
      </c>
    </row>
    <row r="28" spans="1:27">
      <c r="A28" s="72">
        <f t="shared" si="9"/>
        <v>70000</v>
      </c>
      <c r="B28" s="72">
        <f t="shared" si="10"/>
        <v>1215</v>
      </c>
      <c r="C28" s="72">
        <f t="shared" si="11"/>
        <v>1512</v>
      </c>
      <c r="D28" s="72">
        <f t="shared" si="12"/>
        <v>1695</v>
      </c>
      <c r="E28" s="73">
        <f t="shared" si="13"/>
        <v>0.4</v>
      </c>
      <c r="F28" s="74">
        <f t="shared" si="14"/>
        <v>0.1142</v>
      </c>
      <c r="G28" s="74">
        <f t="shared" si="15"/>
        <v>0.02</v>
      </c>
      <c r="H28" s="17">
        <f t="shared" si="16"/>
        <v>10</v>
      </c>
      <c r="I28" s="74">
        <f t="shared" si="17"/>
        <v>0.27531131564699513</v>
      </c>
      <c r="J28" s="62">
        <f t="shared" si="0"/>
        <v>8905.4290718038537</v>
      </c>
      <c r="K28" s="71">
        <v>1.0000000000000001E-5</v>
      </c>
      <c r="L28" s="63">
        <f t="shared" si="18"/>
        <v>0.37673999999999996</v>
      </c>
      <c r="M28" s="64">
        <f t="shared" si="19"/>
        <v>60795.676067810207</v>
      </c>
      <c r="N28" s="65">
        <f t="shared" si="1"/>
        <v>69701.105139614054</v>
      </c>
      <c r="O28" s="65">
        <f t="shared" si="2"/>
        <v>69998.105139614054</v>
      </c>
      <c r="P28" s="65">
        <f t="shared" si="3"/>
        <v>60797.570928196146</v>
      </c>
      <c r="Q28" s="65">
        <f t="shared" si="4"/>
        <v>60795.676067810207</v>
      </c>
      <c r="R28" s="48">
        <f t="shared" si="7"/>
        <v>1.894860385938955</v>
      </c>
      <c r="S28" s="124" t="str">
        <f t="shared" si="5"/>
        <v/>
      </c>
      <c r="T28" s="54">
        <f t="shared" si="8"/>
        <v>0</v>
      </c>
      <c r="U28" s="67">
        <f t="array" ref="U28:AA28">GROWTH_WORTH_CALC_FUNC(D28,E28,F28,G28,H28,I28,L28)</f>
        <v>69701.105139614054</v>
      </c>
      <c r="V28" s="6">
        <v>222215.48908629757</v>
      </c>
      <c r="W28" s="6">
        <v>20932.69907192923</v>
      </c>
      <c r="X28" s="6">
        <v>25377.008853655181</v>
      </c>
      <c r="Y28" s="6">
        <v>-5659.2239070764081</v>
      </c>
      <c r="Z28" s="6">
        <v>0.17513134851138354</v>
      </c>
      <c r="AA28" s="6">
        <v>1.3684145132743362</v>
      </c>
    </row>
    <row r="29" spans="1:27">
      <c r="A29" s="72">
        <f t="shared" si="9"/>
        <v>70000</v>
      </c>
      <c r="B29" s="72">
        <f t="shared" si="10"/>
        <v>1215</v>
      </c>
      <c r="C29" s="72">
        <f t="shared" si="11"/>
        <v>1512</v>
      </c>
      <c r="D29" s="72">
        <f t="shared" si="12"/>
        <v>1695</v>
      </c>
      <c r="E29" s="73">
        <f t="shared" si="13"/>
        <v>0.4</v>
      </c>
      <c r="F29" s="74">
        <f t="shared" si="14"/>
        <v>0.1142</v>
      </c>
      <c r="G29" s="74">
        <f t="shared" si="15"/>
        <v>0.02</v>
      </c>
      <c r="H29" s="17">
        <f t="shared" si="16"/>
        <v>10</v>
      </c>
      <c r="I29" s="74">
        <f t="shared" si="17"/>
        <v>0.27531131564699513</v>
      </c>
      <c r="J29" s="62">
        <f t="shared" si="0"/>
        <v>8905.4290718038537</v>
      </c>
      <c r="K29" s="71">
        <v>9.9999999999999995E-7</v>
      </c>
      <c r="L29" s="63">
        <f t="shared" si="18"/>
        <v>0.37674099999999994</v>
      </c>
      <c r="M29" s="64">
        <f t="shared" si="19"/>
        <v>60796.10798858379</v>
      </c>
      <c r="N29" s="65">
        <f t="shared" si="1"/>
        <v>69701.537060387636</v>
      </c>
      <c r="O29" s="65">
        <f t="shared" si="2"/>
        <v>69998.537060387636</v>
      </c>
      <c r="P29" s="65">
        <f t="shared" si="3"/>
        <v>60797.570928196146</v>
      </c>
      <c r="Q29" s="65">
        <f t="shared" si="4"/>
        <v>60796.10798858379</v>
      </c>
      <c r="R29" s="48">
        <f t="shared" si="7"/>
        <v>1.462939612356422</v>
      </c>
      <c r="S29" s="124" t="str">
        <f t="shared" si="5"/>
        <v/>
      </c>
      <c r="T29" s="54">
        <f t="shared" si="8"/>
        <v>0</v>
      </c>
      <c r="U29" s="67">
        <f t="array" ref="U29:AA29">GROWTH_WORTH_CALC_FUNC(D29,E29,F29,G29,H29,I29,L29)</f>
        <v>69701.537060387636</v>
      </c>
      <c r="V29" s="6">
        <v>222217.10316168907</v>
      </c>
      <c r="W29" s="6">
        <v>20932.851117831109</v>
      </c>
      <c r="X29" s="6">
        <v>25377.193181064889</v>
      </c>
      <c r="Y29" s="6">
        <v>-5659.33937052482</v>
      </c>
      <c r="Z29" s="6">
        <v>0.17513134851138354</v>
      </c>
      <c r="AA29" s="6">
        <v>1.3684181455260569</v>
      </c>
    </row>
    <row r="30" spans="1:27">
      <c r="A30" s="72">
        <f t="shared" si="9"/>
        <v>70000</v>
      </c>
      <c r="B30" s="72">
        <f t="shared" si="10"/>
        <v>1215</v>
      </c>
      <c r="C30" s="72">
        <f t="shared" si="11"/>
        <v>1512</v>
      </c>
      <c r="D30" s="72">
        <f t="shared" si="12"/>
        <v>1695</v>
      </c>
      <c r="E30" s="73">
        <f t="shared" si="13"/>
        <v>0.4</v>
      </c>
      <c r="F30" s="74">
        <f t="shared" si="14"/>
        <v>0.1142</v>
      </c>
      <c r="G30" s="74">
        <f t="shared" si="15"/>
        <v>0.02</v>
      </c>
      <c r="H30" s="17">
        <f t="shared" si="16"/>
        <v>10</v>
      </c>
      <c r="I30" s="74">
        <f t="shared" si="17"/>
        <v>0.27531131564699513</v>
      </c>
      <c r="J30" s="62">
        <f t="shared" si="0"/>
        <v>8905.4290718038537</v>
      </c>
      <c r="K30" s="71">
        <v>9.9999999999999995E-7</v>
      </c>
      <c r="L30" s="63">
        <f t="shared" si="18"/>
        <v>0.37674199999999991</v>
      </c>
      <c r="M30" s="64">
        <f t="shared" si="19"/>
        <v>60796.53991201496</v>
      </c>
      <c r="N30" s="65">
        <f t="shared" si="1"/>
        <v>69701.968983818806</v>
      </c>
      <c r="O30" s="65">
        <f t="shared" si="2"/>
        <v>69998.968983818806</v>
      </c>
      <c r="P30" s="65">
        <f t="shared" si="3"/>
        <v>60797.570928196146</v>
      </c>
      <c r="Q30" s="65">
        <f t="shared" si="4"/>
        <v>60796.53991201496</v>
      </c>
      <c r="R30" s="48">
        <f t="shared" si="7"/>
        <v>1.0310161811867147</v>
      </c>
      <c r="S30" s="124" t="str">
        <f t="shared" si="5"/>
        <v/>
      </c>
      <c r="T30" s="54">
        <f t="shared" si="8"/>
        <v>0</v>
      </c>
      <c r="U30" s="67">
        <f t="array" ref="U30:AA30">GROWTH_WORTH_CALC_FUNC(D30,E30,F30,G30,H30,I30,L30)</f>
        <v>69701.968983818806</v>
      </c>
      <c r="V30" s="6">
        <v>222218.71724763175</v>
      </c>
      <c r="W30" s="6">
        <v>20933.00316472691</v>
      </c>
      <c r="X30" s="6">
        <v>25377.377509679543</v>
      </c>
      <c r="Y30" s="6">
        <v>-5659.4548348938961</v>
      </c>
      <c r="Z30" s="6">
        <v>0.17513134851138354</v>
      </c>
      <c r="AA30" s="6">
        <v>1.3684217777777774</v>
      </c>
    </row>
    <row r="31" spans="1:27" ht="16.149999999999999" thickBot="1">
      <c r="A31" s="72">
        <f t="shared" si="9"/>
        <v>70000</v>
      </c>
      <c r="B31" s="72">
        <f t="shared" si="10"/>
        <v>1215</v>
      </c>
      <c r="C31" s="72">
        <f t="shared" si="11"/>
        <v>1512</v>
      </c>
      <c r="D31" s="72">
        <f t="shared" si="12"/>
        <v>1695</v>
      </c>
      <c r="E31" s="73">
        <f t="shared" si="13"/>
        <v>0.4</v>
      </c>
      <c r="F31" s="74">
        <f t="shared" si="14"/>
        <v>0.1142</v>
      </c>
      <c r="G31" s="74">
        <f t="shared" si="15"/>
        <v>0.02</v>
      </c>
      <c r="H31" s="17">
        <f t="shared" si="16"/>
        <v>10</v>
      </c>
      <c r="I31" s="74">
        <f t="shared" si="17"/>
        <v>0.27531131564699513</v>
      </c>
      <c r="J31" s="62">
        <f t="shared" si="0"/>
        <v>8905.4290718038537</v>
      </c>
      <c r="K31" s="71">
        <v>9.9999999999999995E-7</v>
      </c>
      <c r="L31" s="63">
        <f t="shared" si="18"/>
        <v>0.37674299999999988</v>
      </c>
      <c r="M31" s="64">
        <f t="shared" si="19"/>
        <v>60796.971838103789</v>
      </c>
      <c r="N31" s="65">
        <f t="shared" si="1"/>
        <v>69702.40090990765</v>
      </c>
      <c r="O31" s="65">
        <f t="shared" si="2"/>
        <v>69999.40090990765</v>
      </c>
      <c r="P31" s="65">
        <f t="shared" si="3"/>
        <v>60797.570928196146</v>
      </c>
      <c r="Q31" s="65">
        <f t="shared" si="4"/>
        <v>60796.971838103789</v>
      </c>
      <c r="R31" s="48">
        <f t="shared" si="7"/>
        <v>0.59909009235707344</v>
      </c>
      <c r="S31" s="124" t="str">
        <f t="shared" si="5"/>
        <v/>
      </c>
      <c r="T31" s="54">
        <f t="shared" si="8"/>
        <v>0</v>
      </c>
      <c r="U31" s="67">
        <f t="array" ref="U31:AA31">GROWTH_WORTH_CALC_FUNC(D31,E31,F31,G31,H31,I31,L31)</f>
        <v>69702.400909907636</v>
      </c>
      <c r="V31" s="6">
        <v>222220.331344126</v>
      </c>
      <c r="W31" s="6">
        <v>20933.155212616668</v>
      </c>
      <c r="X31" s="6">
        <v>25377.561839499187</v>
      </c>
      <c r="Y31" s="6">
        <v>-5659.5703001836728</v>
      </c>
      <c r="Z31" s="6">
        <v>0.17513134851138354</v>
      </c>
      <c r="AA31" s="6">
        <v>1.3684254100294981</v>
      </c>
    </row>
    <row r="32" spans="1:27" ht="16.149999999999999" thickBot="1">
      <c r="A32" s="125">
        <f t="shared" si="9"/>
        <v>70000</v>
      </c>
      <c r="B32" s="126">
        <f t="shared" si="10"/>
        <v>1215</v>
      </c>
      <c r="C32" s="126">
        <f t="shared" si="11"/>
        <v>1512</v>
      </c>
      <c r="D32" s="126">
        <f t="shared" si="12"/>
        <v>1695</v>
      </c>
      <c r="E32" s="127">
        <f t="shared" si="13"/>
        <v>0.4</v>
      </c>
      <c r="F32" s="128">
        <f t="shared" si="14"/>
        <v>0.1142</v>
      </c>
      <c r="G32" s="128">
        <f t="shared" si="15"/>
        <v>0.02</v>
      </c>
      <c r="H32" s="129">
        <f t="shared" si="16"/>
        <v>10</v>
      </c>
      <c r="I32" s="128">
        <f t="shared" si="17"/>
        <v>0.27531131564699513</v>
      </c>
      <c r="J32" s="130">
        <f t="shared" si="0"/>
        <v>8905.4290718038537</v>
      </c>
      <c r="K32" s="131">
        <v>9.9999999999999995E-7</v>
      </c>
      <c r="L32" s="132">
        <f t="shared" si="18"/>
        <v>0.37674399999999986</v>
      </c>
      <c r="M32" s="133">
        <f t="shared" si="19"/>
        <v>60797.403766850468</v>
      </c>
      <c r="N32" s="134">
        <f t="shared" si="1"/>
        <v>69702.832838654314</v>
      </c>
      <c r="O32" s="134">
        <f t="shared" si="2"/>
        <v>69999.832838654314</v>
      </c>
      <c r="P32" s="134">
        <f t="shared" si="3"/>
        <v>60797.570928196146</v>
      </c>
      <c r="Q32" s="134">
        <f t="shared" si="4"/>
        <v>60797.403766850468</v>
      </c>
      <c r="R32" s="135">
        <f t="shared" si="7"/>
        <v>0.16716134567832341</v>
      </c>
      <c r="S32" s="136">
        <f>IF(ABS(R32)&lt;$F$36,L32,"")</f>
        <v>0.37674399999999986</v>
      </c>
      <c r="T32" s="137">
        <f t="shared" si="8"/>
        <v>0</v>
      </c>
      <c r="U32" s="138">
        <f t="array" ref="U32:AA32">GROWTH_WORTH_CALC_FUNC(D32,E32,F32,G32,H32,I32,L32)</f>
        <v>69702.832838654314</v>
      </c>
      <c r="V32" s="139">
        <v>222221.94545117227</v>
      </c>
      <c r="W32" s="139">
        <v>20933.307261500428</v>
      </c>
      <c r="X32" s="139">
        <v>25377.746170523875</v>
      </c>
      <c r="Y32" s="139">
        <v>-5659.6857663941328</v>
      </c>
      <c r="Z32" s="139">
        <v>0.17513134851138354</v>
      </c>
      <c r="AA32" s="140">
        <v>1.3684290422812189</v>
      </c>
    </row>
    <row r="33" spans="1:27">
      <c r="A33" s="72">
        <f t="shared" si="9"/>
        <v>70000</v>
      </c>
      <c r="B33" s="72">
        <f t="shared" si="10"/>
        <v>1215</v>
      </c>
      <c r="C33" s="72">
        <f t="shared" si="11"/>
        <v>1512</v>
      </c>
      <c r="D33" s="72">
        <f t="shared" si="12"/>
        <v>1695</v>
      </c>
      <c r="E33" s="73">
        <f t="shared" si="13"/>
        <v>0.4</v>
      </c>
      <c r="F33" s="74">
        <f t="shared" si="14"/>
        <v>0.1142</v>
      </c>
      <c r="G33" s="74">
        <f t="shared" si="15"/>
        <v>0.02</v>
      </c>
      <c r="H33" s="17">
        <f t="shared" si="16"/>
        <v>10</v>
      </c>
      <c r="I33" s="74">
        <f t="shared" si="17"/>
        <v>0.27531131564699513</v>
      </c>
      <c r="J33" s="62">
        <f t="shared" si="0"/>
        <v>8905.4290718038537</v>
      </c>
      <c r="K33" s="71">
        <v>9.9999999999999995E-7</v>
      </c>
      <c r="L33" s="63">
        <f t="shared" si="18"/>
        <v>0.37674499999999983</v>
      </c>
      <c r="M33" s="64">
        <f t="shared" si="19"/>
        <v>60797.835698254778</v>
      </c>
      <c r="N33" s="65">
        <f t="shared" si="1"/>
        <v>69703.264770058624</v>
      </c>
      <c r="O33" s="65">
        <f t="shared" si="2"/>
        <v>70000.264770058624</v>
      </c>
      <c r="P33" s="65">
        <f t="shared" si="3"/>
        <v>60797.570928196146</v>
      </c>
      <c r="Q33" s="65">
        <f t="shared" si="4"/>
        <v>60797.835698254778</v>
      </c>
      <c r="R33" s="48">
        <f t="shared" si="7"/>
        <v>-0.26477005863125669</v>
      </c>
      <c r="S33" s="124" t="str">
        <f t="shared" si="5"/>
        <v/>
      </c>
      <c r="T33" s="54">
        <f t="shared" si="8"/>
        <v>0</v>
      </c>
      <c r="U33" s="67">
        <f t="array" ref="U33:AA33">GROWTH_WORTH_CALC_FUNC(D33,E33,F33,G33,H33,I33,L33)</f>
        <v>69703.264770058624</v>
      </c>
      <c r="V33" s="6">
        <v>222223.55956876994</v>
      </c>
      <c r="W33" s="6">
        <v>20933.459311378127</v>
      </c>
      <c r="X33" s="6">
        <v>25377.930502753527</v>
      </c>
      <c r="Y33" s="6">
        <v>-5659.8012335252806</v>
      </c>
      <c r="Z33" s="6">
        <v>0.17513134851138354</v>
      </c>
      <c r="AA33" s="6">
        <v>1.3684326745329394</v>
      </c>
    </row>
    <row r="35" spans="1:27">
      <c r="F35" s="11" t="s">
        <v>96</v>
      </c>
      <c r="G35" s="11" t="s">
        <v>97</v>
      </c>
    </row>
    <row r="36" spans="1:27">
      <c r="E36" s="6" t="s">
        <v>91</v>
      </c>
      <c r="F36" s="141">
        <v>0.2</v>
      </c>
      <c r="G36" s="75">
        <f>10 ^ -10</f>
        <v>1E-10</v>
      </c>
      <c r="M36" s="16"/>
    </row>
    <row r="37" spans="1:27">
      <c r="E37" s="6" t="s">
        <v>89</v>
      </c>
      <c r="F37" s="66">
        <f>MAX(S2:S33)</f>
        <v>0.37674399999999986</v>
      </c>
      <c r="G37" s="66">
        <f>GROWTH_WORTH_SOLVER_FUNC(A2,B2,C2,D2,E2,I2,H2,F2,G2,"",1)</f>
        <v>0.37674438700974111</v>
      </c>
    </row>
    <row r="38" spans="1:27">
      <c r="E38" s="6" t="s">
        <v>90</v>
      </c>
      <c r="F38" s="70">
        <f>GROWTH_WORTH_SOLVER_FUNC(A2,B2,C2,D2,E2,I2,H2,F2,G2,F37,0)</f>
        <v>60797.403766850461</v>
      </c>
      <c r="G38" s="70">
        <f>GROWTH_WORTH_SOLVER_FUNC(A2,B2,C2,D2,E2,I2,H2,F2,G2,G37,0)</f>
        <v>60797.570928196219</v>
      </c>
    </row>
    <row r="39" spans="1:27">
      <c r="E39" s="6" t="s">
        <v>92</v>
      </c>
      <c r="F39" s="76">
        <f>F38-P33</f>
        <v>-0.16716134568559937</v>
      </c>
      <c r="G39" s="76">
        <f>G38-P33</f>
        <v>7.2759576141834259E-11</v>
      </c>
    </row>
    <row r="41" spans="1:27">
      <c r="E41" s="16"/>
    </row>
    <row r="42" spans="1:27">
      <c r="E42" s="16"/>
    </row>
  </sheetData>
  <pageMargins left="0.7" right="0.7" top="0.75" bottom="0.75" header="0.3" footer="0.3"/>
  <pageSetup paperSize="132" orientation="portrait" horizontalDpi="300" verticalDpi="300"/>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S17"/>
  <sheetViews>
    <sheetView workbookViewId="0">
      <selection activeCell="E16" sqref="E16"/>
    </sheetView>
  </sheetViews>
  <sheetFormatPr defaultColWidth="10.1328125" defaultRowHeight="15.75"/>
  <cols>
    <col min="1" max="19" width="17.86328125" style="6" customWidth="1"/>
    <col min="20" max="16384" width="10.1328125" style="6"/>
  </cols>
  <sheetData>
    <row r="1" spans="1:19" ht="63">
      <c r="A1" s="113" t="s">
        <v>75</v>
      </c>
      <c r="B1" s="113" t="s">
        <v>520</v>
      </c>
      <c r="C1" s="57" t="s">
        <v>521</v>
      </c>
      <c r="D1" s="57" t="s">
        <v>76</v>
      </c>
      <c r="E1" s="57" t="s">
        <v>522</v>
      </c>
      <c r="F1" s="57" t="s">
        <v>77</v>
      </c>
      <c r="G1" s="57" t="s">
        <v>523</v>
      </c>
      <c r="H1" s="57" t="s">
        <v>524</v>
      </c>
      <c r="I1" s="57" t="s">
        <v>525</v>
      </c>
      <c r="J1" s="57" t="s">
        <v>78</v>
      </c>
      <c r="K1" s="57" t="s">
        <v>526</v>
      </c>
      <c r="L1" s="57" t="s">
        <v>79</v>
      </c>
      <c r="M1" s="57" t="s">
        <v>21</v>
      </c>
      <c r="N1" s="57" t="s">
        <v>506</v>
      </c>
      <c r="O1" s="57" t="s">
        <v>80</v>
      </c>
      <c r="P1" s="57" t="s">
        <v>81</v>
      </c>
      <c r="Q1" s="57" t="s">
        <v>82</v>
      </c>
      <c r="R1" s="57" t="s">
        <v>83</v>
      </c>
      <c r="S1" s="57" t="s">
        <v>85</v>
      </c>
    </row>
    <row r="2" spans="1:19">
      <c r="A2" s="58">
        <v>70000</v>
      </c>
      <c r="B2" s="58">
        <v>5228</v>
      </c>
      <c r="C2" s="58">
        <v>4162</v>
      </c>
      <c r="D2" s="58">
        <v>1215</v>
      </c>
      <c r="E2" s="58">
        <v>1317</v>
      </c>
      <c r="F2" s="58">
        <v>1512</v>
      </c>
      <c r="G2" s="58">
        <v>1785</v>
      </c>
      <c r="H2" s="58">
        <v>3711</v>
      </c>
      <c r="I2" s="58">
        <v>1974</v>
      </c>
      <c r="J2" s="58">
        <v>1695</v>
      </c>
      <c r="K2" s="58">
        <v>1032</v>
      </c>
      <c r="L2" s="59">
        <v>0.4</v>
      </c>
      <c r="M2" s="58">
        <v>900</v>
      </c>
      <c r="N2" s="60">
        <v>0.125</v>
      </c>
      <c r="O2" s="60">
        <v>0.1142</v>
      </c>
      <c r="P2" s="60">
        <v>0.02</v>
      </c>
      <c r="Q2" s="61">
        <v>10</v>
      </c>
      <c r="R2" s="60">
        <v>0.27531131564699513</v>
      </c>
      <c r="S2" s="104"/>
    </row>
    <row r="3" spans="1:19">
      <c r="A3" s="58">
        <v>70000</v>
      </c>
      <c r="B3" s="58">
        <v>5228</v>
      </c>
      <c r="C3" s="58">
        <v>4162</v>
      </c>
      <c r="D3" s="58">
        <v>1215</v>
      </c>
      <c r="E3" s="58">
        <v>1317</v>
      </c>
      <c r="F3" s="58">
        <v>1512</v>
      </c>
      <c r="G3" s="58">
        <v>1785</v>
      </c>
      <c r="H3" s="58">
        <v>3711</v>
      </c>
      <c r="I3" s="58">
        <v>1974</v>
      </c>
      <c r="J3" s="58">
        <v>1695</v>
      </c>
      <c r="K3" s="58">
        <v>1032</v>
      </c>
      <c r="L3" s="59">
        <v>0.4</v>
      </c>
      <c r="M3" s="58">
        <v>900</v>
      </c>
      <c r="N3" s="60">
        <v>0.125</v>
      </c>
      <c r="O3" s="60">
        <v>0.1142</v>
      </c>
      <c r="P3" s="60">
        <v>0.02</v>
      </c>
      <c r="Q3" s="61">
        <v>10</v>
      </c>
      <c r="R3" s="60">
        <v>0.27531131564699513</v>
      </c>
      <c r="S3" s="104"/>
    </row>
    <row r="4" spans="1:19">
      <c r="A4" s="58">
        <v>70000</v>
      </c>
      <c r="B4" s="58">
        <v>5228</v>
      </c>
      <c r="C4" s="58">
        <v>4162</v>
      </c>
      <c r="D4" s="58">
        <v>1215</v>
      </c>
      <c r="E4" s="58">
        <v>1317</v>
      </c>
      <c r="F4" s="58">
        <v>1512</v>
      </c>
      <c r="G4" s="58">
        <v>1785</v>
      </c>
      <c r="H4" s="58">
        <v>3711</v>
      </c>
      <c r="I4" s="58">
        <v>1974</v>
      </c>
      <c r="J4" s="58">
        <v>1695</v>
      </c>
      <c r="K4" s="58">
        <v>1032</v>
      </c>
      <c r="L4" s="59">
        <v>0.4</v>
      </c>
      <c r="M4" s="58">
        <v>900</v>
      </c>
      <c r="N4" s="60">
        <v>0.125</v>
      </c>
      <c r="O4" s="60">
        <v>0.1142</v>
      </c>
      <c r="P4" s="60">
        <v>0.02</v>
      </c>
      <c r="Q4" s="61">
        <v>10</v>
      </c>
      <c r="R4" s="60">
        <v>0.27531131564699513</v>
      </c>
      <c r="S4" s="104"/>
    </row>
    <row r="5" spans="1:19">
      <c r="A5" s="58">
        <v>70000</v>
      </c>
      <c r="B5" s="58">
        <v>5228</v>
      </c>
      <c r="C5" s="58">
        <v>4162</v>
      </c>
      <c r="D5" s="58">
        <v>1215</v>
      </c>
      <c r="E5" s="58">
        <v>1317</v>
      </c>
      <c r="F5" s="58">
        <v>1512</v>
      </c>
      <c r="G5" s="58">
        <v>1785</v>
      </c>
      <c r="H5" s="58">
        <v>3711</v>
      </c>
      <c r="I5" s="58">
        <v>1974</v>
      </c>
      <c r="J5" s="58">
        <v>1695</v>
      </c>
      <c r="K5" s="58">
        <v>1032</v>
      </c>
      <c r="L5" s="59">
        <v>0.4</v>
      </c>
      <c r="M5" s="58">
        <v>900</v>
      </c>
      <c r="N5" s="60">
        <v>0.125</v>
      </c>
      <c r="O5" s="60">
        <v>0.1142</v>
      </c>
      <c r="P5" s="60">
        <v>0.02</v>
      </c>
      <c r="Q5" s="61">
        <v>10</v>
      </c>
      <c r="R5" s="60">
        <v>0.27531131564699513</v>
      </c>
      <c r="S5" s="104"/>
    </row>
    <row r="6" spans="1:19">
      <c r="A6" s="58">
        <v>70000</v>
      </c>
      <c r="B6" s="58">
        <v>5228</v>
      </c>
      <c r="C6" s="58">
        <v>4162</v>
      </c>
      <c r="D6" s="58">
        <v>1215</v>
      </c>
      <c r="E6" s="58">
        <v>1317</v>
      </c>
      <c r="F6" s="58">
        <v>1512</v>
      </c>
      <c r="G6" s="58">
        <v>1785</v>
      </c>
      <c r="H6" s="58">
        <v>3711</v>
      </c>
      <c r="I6" s="58">
        <v>1974</v>
      </c>
      <c r="J6" s="58">
        <v>1695</v>
      </c>
      <c r="K6" s="58">
        <v>1032</v>
      </c>
      <c r="L6" s="59">
        <v>0.4</v>
      </c>
      <c r="M6" s="58">
        <v>900</v>
      </c>
      <c r="N6" s="60">
        <v>0.125</v>
      </c>
      <c r="O6" s="60">
        <v>0.1142</v>
      </c>
      <c r="P6" s="60">
        <v>0.02</v>
      </c>
      <c r="Q6" s="61">
        <v>10</v>
      </c>
      <c r="R6" s="60">
        <v>0.27531131564699513</v>
      </c>
      <c r="S6" s="104"/>
    </row>
    <row r="7" spans="1:19">
      <c r="A7" s="58">
        <v>70000</v>
      </c>
      <c r="B7" s="58">
        <v>5228</v>
      </c>
      <c r="C7" s="58">
        <v>4162</v>
      </c>
      <c r="D7" s="58">
        <v>1215</v>
      </c>
      <c r="E7" s="58">
        <v>1317</v>
      </c>
      <c r="F7" s="58">
        <v>1512</v>
      </c>
      <c r="G7" s="58">
        <v>1785</v>
      </c>
      <c r="H7" s="58">
        <v>3711</v>
      </c>
      <c r="I7" s="58">
        <v>1974</v>
      </c>
      <c r="J7" s="58">
        <v>1695</v>
      </c>
      <c r="K7" s="58">
        <v>1032</v>
      </c>
      <c r="L7" s="59">
        <v>0.4</v>
      </c>
      <c r="M7" s="58">
        <v>900</v>
      </c>
      <c r="N7" s="60">
        <v>0.125</v>
      </c>
      <c r="O7" s="60">
        <v>0.1142</v>
      </c>
      <c r="P7" s="60">
        <v>0.02</v>
      </c>
      <c r="Q7" s="61">
        <v>10</v>
      </c>
      <c r="R7" s="60">
        <v>0.27531131564699513</v>
      </c>
      <c r="S7" s="104"/>
    </row>
    <row r="8" spans="1:19">
      <c r="A8" s="58">
        <v>70000</v>
      </c>
      <c r="B8" s="58">
        <v>5228</v>
      </c>
      <c r="C8" s="58">
        <v>4162</v>
      </c>
      <c r="D8" s="58">
        <v>1215</v>
      </c>
      <c r="E8" s="58">
        <v>1317</v>
      </c>
      <c r="F8" s="58">
        <v>1512</v>
      </c>
      <c r="G8" s="58">
        <v>1785</v>
      </c>
      <c r="H8" s="58">
        <v>3711</v>
      </c>
      <c r="I8" s="58">
        <v>1974</v>
      </c>
      <c r="J8" s="58">
        <v>1695</v>
      </c>
      <c r="K8" s="58">
        <v>1032</v>
      </c>
      <c r="L8" s="59">
        <v>0.4</v>
      </c>
      <c r="M8" s="58">
        <v>900</v>
      </c>
      <c r="N8" s="60">
        <v>0.125</v>
      </c>
      <c r="O8" s="60">
        <v>0.1142</v>
      </c>
      <c r="P8" s="60">
        <v>0.02</v>
      </c>
      <c r="Q8" s="61">
        <v>10</v>
      </c>
      <c r="R8" s="60">
        <v>0.27531131564699513</v>
      </c>
      <c r="S8" s="104"/>
    </row>
    <row r="9" spans="1:19">
      <c r="A9" s="58">
        <v>70000</v>
      </c>
      <c r="B9" s="58">
        <v>5228</v>
      </c>
      <c r="C9" s="58">
        <v>4162</v>
      </c>
      <c r="D9" s="58">
        <v>1215</v>
      </c>
      <c r="E9" s="58">
        <v>1317</v>
      </c>
      <c r="F9" s="58">
        <v>1512</v>
      </c>
      <c r="G9" s="58">
        <v>1785</v>
      </c>
      <c r="H9" s="58">
        <v>3711</v>
      </c>
      <c r="I9" s="58">
        <v>1974</v>
      </c>
      <c r="J9" s="58">
        <v>1695</v>
      </c>
      <c r="K9" s="58">
        <v>1032</v>
      </c>
      <c r="L9" s="59">
        <v>0.4</v>
      </c>
      <c r="M9" s="58">
        <v>900</v>
      </c>
      <c r="N9" s="60">
        <v>0.125</v>
      </c>
      <c r="O9" s="60">
        <v>0.1142</v>
      </c>
      <c r="P9" s="60">
        <v>0.02</v>
      </c>
      <c r="Q9" s="61">
        <v>10</v>
      </c>
      <c r="R9" s="60">
        <v>0.27531131564699513</v>
      </c>
      <c r="S9" s="104"/>
    </row>
    <row r="10" spans="1:19">
      <c r="A10" s="58">
        <v>70000</v>
      </c>
      <c r="B10" s="58">
        <v>5228</v>
      </c>
      <c r="C10" s="58">
        <v>4162</v>
      </c>
      <c r="D10" s="58">
        <v>1215</v>
      </c>
      <c r="E10" s="58">
        <v>1317</v>
      </c>
      <c r="F10" s="58">
        <v>1512</v>
      </c>
      <c r="G10" s="58">
        <v>1785</v>
      </c>
      <c r="H10" s="58">
        <v>3711</v>
      </c>
      <c r="I10" s="58">
        <v>1974</v>
      </c>
      <c r="J10" s="58">
        <v>1695</v>
      </c>
      <c r="K10" s="58">
        <v>1032</v>
      </c>
      <c r="L10" s="59">
        <v>0.4</v>
      </c>
      <c r="M10" s="58">
        <v>900</v>
      </c>
      <c r="N10" s="60">
        <v>0.125</v>
      </c>
      <c r="O10" s="60">
        <v>0.1142</v>
      </c>
      <c r="P10" s="60">
        <v>0.02</v>
      </c>
      <c r="Q10" s="61">
        <v>10</v>
      </c>
      <c r="R10" s="60">
        <v>0.27531131564699513</v>
      </c>
      <c r="S10" s="104"/>
    </row>
    <row r="11" spans="1:19">
      <c r="A11" s="58">
        <v>70000</v>
      </c>
      <c r="B11" s="58">
        <v>5228</v>
      </c>
      <c r="C11" s="58">
        <v>4162</v>
      </c>
      <c r="D11" s="58">
        <v>1215</v>
      </c>
      <c r="E11" s="58">
        <v>1317</v>
      </c>
      <c r="F11" s="58">
        <v>1512</v>
      </c>
      <c r="G11" s="58">
        <v>1785</v>
      </c>
      <c r="H11" s="58">
        <v>3711</v>
      </c>
      <c r="I11" s="58">
        <v>1974</v>
      </c>
      <c r="J11" s="58">
        <v>1695</v>
      </c>
      <c r="K11" s="58">
        <v>1032</v>
      </c>
      <c r="L11" s="59">
        <v>0.4</v>
      </c>
      <c r="M11" s="58">
        <v>900</v>
      </c>
      <c r="N11" s="60">
        <v>0.125</v>
      </c>
      <c r="O11" s="60">
        <v>0.1142</v>
      </c>
      <c r="P11" s="60">
        <v>0.02</v>
      </c>
      <c r="Q11" s="61">
        <v>10</v>
      </c>
      <c r="R11" s="60">
        <v>0.27531131564699513</v>
      </c>
      <c r="S11" s="104"/>
    </row>
    <row r="12" spans="1:19">
      <c r="A12" s="58">
        <v>70000</v>
      </c>
      <c r="B12" s="58">
        <v>5228</v>
      </c>
      <c r="C12" s="58">
        <v>4162</v>
      </c>
      <c r="D12" s="58">
        <v>1215</v>
      </c>
      <c r="E12" s="58">
        <v>1317</v>
      </c>
      <c r="F12" s="58">
        <v>1512</v>
      </c>
      <c r="G12" s="58">
        <v>1785</v>
      </c>
      <c r="H12" s="58">
        <v>3711</v>
      </c>
      <c r="I12" s="58">
        <v>1974</v>
      </c>
      <c r="J12" s="58">
        <v>1695</v>
      </c>
      <c r="K12" s="58">
        <v>1032</v>
      </c>
      <c r="L12" s="59">
        <v>0.4</v>
      </c>
      <c r="M12" s="58">
        <v>900</v>
      </c>
      <c r="N12" s="60">
        <v>0.125</v>
      </c>
      <c r="O12" s="60">
        <v>0.1142</v>
      </c>
      <c r="P12" s="60">
        <v>0.02</v>
      </c>
      <c r="Q12" s="61">
        <v>10</v>
      </c>
      <c r="R12" s="60">
        <v>0.27531131564699513</v>
      </c>
      <c r="S12" s="104"/>
    </row>
    <row r="13" spans="1:19">
      <c r="A13" s="58">
        <v>70000</v>
      </c>
      <c r="B13" s="58">
        <v>5228</v>
      </c>
      <c r="C13" s="58">
        <v>4162</v>
      </c>
      <c r="D13" s="58">
        <v>1215</v>
      </c>
      <c r="E13" s="58">
        <v>1317</v>
      </c>
      <c r="F13" s="58">
        <v>1512</v>
      </c>
      <c r="G13" s="58">
        <v>1785</v>
      </c>
      <c r="H13" s="58">
        <v>3711</v>
      </c>
      <c r="I13" s="58">
        <v>1974</v>
      </c>
      <c r="J13" s="58">
        <v>1695</v>
      </c>
      <c r="K13" s="58">
        <v>1032</v>
      </c>
      <c r="L13" s="59">
        <v>0.4</v>
      </c>
      <c r="M13" s="58">
        <v>900</v>
      </c>
      <c r="N13" s="60">
        <v>0.125</v>
      </c>
      <c r="O13" s="60">
        <v>0.1142</v>
      </c>
      <c r="P13" s="60">
        <v>0.02</v>
      </c>
      <c r="Q13" s="61">
        <v>10</v>
      </c>
      <c r="R13" s="60">
        <v>0.27531131564699513</v>
      </c>
      <c r="S13" s="104"/>
    </row>
    <row r="14" spans="1:19">
      <c r="A14" s="58">
        <v>70000</v>
      </c>
      <c r="B14" s="58">
        <v>5228</v>
      </c>
      <c r="C14" s="58">
        <v>4162</v>
      </c>
      <c r="D14" s="58">
        <v>1215</v>
      </c>
      <c r="E14" s="58">
        <v>1317</v>
      </c>
      <c r="F14" s="58">
        <v>1512</v>
      </c>
      <c r="G14" s="58">
        <v>1785</v>
      </c>
      <c r="H14" s="58">
        <v>3711</v>
      </c>
      <c r="I14" s="58">
        <v>1974</v>
      </c>
      <c r="J14" s="58">
        <v>1695</v>
      </c>
      <c r="K14" s="58">
        <v>1032</v>
      </c>
      <c r="L14" s="59">
        <v>0.4</v>
      </c>
      <c r="M14" s="58">
        <v>900</v>
      </c>
      <c r="N14" s="60">
        <v>0.125</v>
      </c>
      <c r="O14" s="60">
        <v>0.1142</v>
      </c>
      <c r="P14" s="60">
        <v>0.02</v>
      </c>
      <c r="Q14" s="61">
        <v>10</v>
      </c>
      <c r="R14" s="60">
        <v>0.27531131564699513</v>
      </c>
      <c r="S14" s="104"/>
    </row>
    <row r="15" spans="1:19">
      <c r="A15" s="58">
        <v>70000</v>
      </c>
      <c r="B15" s="58">
        <v>5228</v>
      </c>
      <c r="C15" s="58">
        <v>4162</v>
      </c>
      <c r="D15" s="58">
        <v>1215</v>
      </c>
      <c r="E15" s="58">
        <v>1317</v>
      </c>
      <c r="F15" s="58">
        <v>1512</v>
      </c>
      <c r="G15" s="58">
        <v>1785</v>
      </c>
      <c r="H15" s="58">
        <v>3711</v>
      </c>
      <c r="I15" s="58">
        <v>1974</v>
      </c>
      <c r="J15" s="58">
        <v>1695</v>
      </c>
      <c r="K15" s="58">
        <v>1032</v>
      </c>
      <c r="L15" s="59">
        <v>0.4</v>
      </c>
      <c r="M15" s="58">
        <v>900</v>
      </c>
      <c r="N15" s="60">
        <v>0.125</v>
      </c>
      <c r="O15" s="60">
        <v>0.1142</v>
      </c>
      <c r="P15" s="60">
        <v>0.02</v>
      </c>
      <c r="Q15" s="61">
        <v>10</v>
      </c>
      <c r="R15" s="60">
        <v>0.27531131564699513</v>
      </c>
      <c r="S15" s="104"/>
    </row>
    <row r="16" spans="1:19">
      <c r="A16" s="58">
        <v>70000</v>
      </c>
      <c r="B16" s="58">
        <v>5228</v>
      </c>
      <c r="C16" s="58">
        <v>4162</v>
      </c>
      <c r="D16" s="58">
        <v>1215</v>
      </c>
      <c r="E16" s="58">
        <v>1317</v>
      </c>
      <c r="F16" s="58">
        <v>1512</v>
      </c>
      <c r="G16" s="58">
        <v>1785</v>
      </c>
      <c r="H16" s="58">
        <v>3711</v>
      </c>
      <c r="I16" s="58">
        <v>1974</v>
      </c>
      <c r="J16" s="58">
        <v>1695</v>
      </c>
      <c r="K16" s="58">
        <v>1032</v>
      </c>
      <c r="L16" s="59">
        <v>0.4</v>
      </c>
      <c r="M16" s="58">
        <v>900</v>
      </c>
      <c r="N16" s="60">
        <v>0.125</v>
      </c>
      <c r="O16" s="60">
        <v>0.1142</v>
      </c>
      <c r="P16" s="60">
        <v>0.02</v>
      </c>
      <c r="Q16" s="61">
        <v>10</v>
      </c>
      <c r="R16" s="60">
        <v>0.27531131564699513</v>
      </c>
      <c r="S16" s="104"/>
    </row>
    <row r="17" spans="1:19">
      <c r="A17" s="58">
        <v>70000</v>
      </c>
      <c r="B17" s="58">
        <v>5228</v>
      </c>
      <c r="C17" s="58">
        <v>4162</v>
      </c>
      <c r="D17" s="58">
        <v>1215</v>
      </c>
      <c r="E17" s="58">
        <v>1317</v>
      </c>
      <c r="F17" s="58">
        <v>1512</v>
      </c>
      <c r="G17" s="58">
        <v>1785</v>
      </c>
      <c r="H17" s="58">
        <v>3711</v>
      </c>
      <c r="I17" s="58">
        <v>1974</v>
      </c>
      <c r="J17" s="58">
        <v>1695</v>
      </c>
      <c r="K17" s="58">
        <v>1032</v>
      </c>
      <c r="L17" s="59">
        <v>0.4</v>
      </c>
      <c r="M17" s="58">
        <v>900</v>
      </c>
      <c r="N17" s="60">
        <v>0.125</v>
      </c>
      <c r="O17" s="60">
        <v>0.1142</v>
      </c>
      <c r="P17" s="60">
        <v>0.02</v>
      </c>
      <c r="Q17" s="61">
        <v>10</v>
      </c>
      <c r="R17" s="60">
        <v>0.27531131564699513</v>
      </c>
      <c r="S17" s="104"/>
    </row>
  </sheetData>
  <pageMargins left="0.7" right="0.7" top="0.75" bottom="0.75" header="0.3" footer="0.3"/>
  <pageSetup paperSize="132"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PRINT_HOW_MUCH_IS_GROWTH_FUNC">
                <anchor moveWithCells="1" sizeWithCells="1">
                  <from>
                    <xdr:col>0</xdr:col>
                    <xdr:colOff>104775</xdr:colOff>
                    <xdr:row>0</xdr:row>
                    <xdr:rowOff>76200</xdr:rowOff>
                  </from>
                  <to>
                    <xdr:col>0</xdr:col>
                    <xdr:colOff>1114425</xdr:colOff>
                    <xdr:row>0</xdr:row>
                    <xdr:rowOff>409575</xdr:rowOff>
                  </to>
                </anchor>
              </controlPr>
            </control>
          </mc:Choice>
        </mc:AlternateContent>
        <mc:AlternateContent xmlns:mc="http://schemas.openxmlformats.org/markup-compatibility/2006">
          <mc:Choice Requires="x14">
            <control shapeId="9218" r:id="rId4" name="Button 2">
              <controlPr defaultSize="0" print="0" autoFill="0" autoPict="0" macro="[0]!WSHEETS_REMOVE_CURRENT_FUNC">
                <anchor moveWithCells="1" sizeWithCells="1">
                  <from>
                    <xdr:col>1</xdr:col>
                    <xdr:colOff>104775</xdr:colOff>
                    <xdr:row>0</xdr:row>
                    <xdr:rowOff>76200</xdr:rowOff>
                  </from>
                  <to>
                    <xdr:col>1</xdr:col>
                    <xdr:colOff>1114425</xdr:colOff>
                    <xdr:row>0</xdr:row>
                    <xdr:rowOff>409575</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READ_ME_FIRST</vt:lpstr>
      <vt:lpstr>Section1</vt:lpstr>
      <vt:lpstr>Section4</vt:lpstr>
      <vt:lpstr>Section2</vt:lpstr>
      <vt:lpstr>Section3</vt:lpstr>
      <vt:lpstr>Section5</vt:lpstr>
      <vt:lpstr>FORMULAS_RNG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Rafael Nicolas Fermin Cota</cp:lastModifiedBy>
  <dcterms:created xsi:type="dcterms:W3CDTF">2013-10-25T09:03:41Z</dcterms:created>
  <dcterms:modified xsi:type="dcterms:W3CDTF">2017-03-06T21:12:17Z</dcterms:modified>
</cp:coreProperties>
</file>