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workbookPr codeName="ThisWorkbook" autoCompressPictures="0" defaultThemeVersion="124226"/>
  <bookViews>
    <workbookView xWindow="120" yWindow="165" windowWidth="25440" windowHeight="15990"/>
  </bookViews>
  <sheets>
    <sheet name="Valuation" sheetId="2" r:id="rId1"/>
    <sheet name="Inputs - Output Strings" sheetId="3" r:id="rId2"/>
  </sheets>
  <calcPr calcId="145621" iterate="1" concurrentCalc="0"/>
  <extLst>
    <ext xmlns:mx="http://schemas.microsoft.com/office/mac/excel/2008/main" uri="{7523E5D3-25F3-A5E0-1632-64F254C22452}">
      <mx:ArchID Flags="2"/>
    </ext>
  </extLst>
</workbook>
</file>

<file path=xl/calcChain.xml><?xml version="1.0" encoding="utf-8"?>
<calcChain xmlns="http://schemas.openxmlformats.org/spreadsheetml/2006/main">
  <c r="D2" i="3" l="1"/>
  <c r="E2" i="3"/>
  <c r="H2" i="3"/>
  <c r="D3" i="3"/>
  <c r="E3" i="3"/>
  <c r="H3" i="3"/>
  <c r="D4" i="3"/>
  <c r="E4" i="3"/>
  <c r="H4" i="3"/>
  <c r="D5" i="3"/>
  <c r="E5" i="3"/>
  <c r="H5" i="3"/>
  <c r="D6" i="3"/>
  <c r="E6" i="3"/>
  <c r="H6" i="3"/>
  <c r="D7" i="3"/>
  <c r="E7" i="3"/>
  <c r="H7" i="3"/>
  <c r="D8" i="3"/>
  <c r="E8" i="3"/>
  <c r="H8" i="3"/>
  <c r="D9" i="3"/>
  <c r="E9" i="3"/>
  <c r="H9" i="3"/>
  <c r="D10" i="3"/>
  <c r="E10" i="3"/>
  <c r="H10" i="3"/>
  <c r="D11" i="3"/>
  <c r="E11" i="3"/>
  <c r="H11" i="3"/>
  <c r="D12" i="3"/>
  <c r="E12" i="3"/>
  <c r="H12" i="3"/>
  <c r="D13" i="3"/>
  <c r="E13" i="3"/>
  <c r="H13" i="3"/>
  <c r="D14" i="3"/>
  <c r="E14" i="3"/>
  <c r="H14" i="3"/>
  <c r="D15" i="3"/>
  <c r="E15" i="3"/>
  <c r="H15" i="3"/>
  <c r="D16" i="3"/>
  <c r="E16" i="3"/>
  <c r="H16" i="3"/>
  <c r="D17" i="3"/>
  <c r="E17" i="3"/>
  <c r="H17" i="3"/>
  <c r="D18" i="3"/>
  <c r="E18" i="3"/>
  <c r="H18" i="3"/>
  <c r="D19" i="3"/>
  <c r="E19" i="3"/>
  <c r="H19" i="3"/>
  <c r="H22" i="3"/>
  <c r="U8" i="2"/>
  <c r="U9" i="2"/>
  <c r="U10" i="2"/>
  <c r="U11" i="2"/>
  <c r="U12" i="2"/>
  <c r="U13" i="2"/>
  <c r="U14" i="2"/>
  <c r="U15" i="2"/>
  <c r="U16" i="2"/>
  <c r="U17" i="2"/>
  <c r="U18" i="2"/>
  <c r="U19" i="2"/>
  <c r="U20" i="2"/>
  <c r="U21" i="2"/>
  <c r="U22" i="2"/>
  <c r="U23" i="2"/>
  <c r="U24" i="2"/>
  <c r="U25" i="2"/>
  <c r="U26" i="2"/>
  <c r="U27" i="2"/>
  <c r="U28" i="2"/>
  <c r="U29" i="2"/>
  <c r="U30" i="2"/>
  <c r="U31" i="2"/>
  <c r="U32" i="2"/>
  <c r="U33" i="2"/>
  <c r="U34" i="2"/>
  <c r="U35" i="2"/>
  <c r="U36" i="2"/>
  <c r="U37" i="2"/>
  <c r="U38" i="2"/>
  <c r="U39" i="2"/>
  <c r="U40" i="2"/>
  <c r="U41" i="2"/>
  <c r="U42" i="2"/>
  <c r="U43" i="2"/>
  <c r="U44" i="2"/>
  <c r="AF45" i="2"/>
  <c r="AG45" i="2"/>
  <c r="AF44" i="2"/>
  <c r="AG44" i="2"/>
  <c r="AF43" i="2"/>
  <c r="AG43" i="2"/>
  <c r="AF42" i="2"/>
  <c r="AG42" i="2"/>
  <c r="AF41" i="2"/>
  <c r="AG41" i="2"/>
  <c r="AF40" i="2"/>
  <c r="AG40" i="2"/>
  <c r="AF39" i="2"/>
  <c r="AG39" i="2"/>
  <c r="AF38" i="2"/>
  <c r="AG38" i="2"/>
  <c r="AF37" i="2"/>
  <c r="AG37" i="2"/>
  <c r="AF36" i="2"/>
  <c r="AG36" i="2"/>
  <c r="AF35" i="2"/>
  <c r="AG35" i="2"/>
  <c r="AF34" i="2"/>
  <c r="AG34" i="2"/>
  <c r="AF33" i="2"/>
  <c r="AG33" i="2"/>
  <c r="AF32" i="2"/>
  <c r="AG32" i="2"/>
  <c r="AF31" i="2"/>
  <c r="AG31" i="2"/>
  <c r="AF30" i="2"/>
  <c r="AG30" i="2"/>
  <c r="AF29" i="2"/>
  <c r="AG29" i="2"/>
  <c r="AF28" i="2"/>
  <c r="AG28" i="2"/>
  <c r="AF27" i="2"/>
  <c r="AG27" i="2"/>
  <c r="AF26" i="2"/>
  <c r="AG26" i="2"/>
  <c r="AF25" i="2"/>
  <c r="AG25" i="2"/>
  <c r="AF24" i="2"/>
  <c r="AG24" i="2"/>
  <c r="AF23" i="2"/>
  <c r="AG23" i="2"/>
  <c r="AF22" i="2"/>
  <c r="AG22" i="2"/>
  <c r="AF21" i="2"/>
  <c r="AG21" i="2"/>
  <c r="AF20" i="2"/>
  <c r="AG20" i="2"/>
  <c r="AF19" i="2"/>
  <c r="AG19" i="2"/>
  <c r="AF18" i="2"/>
  <c r="AG18" i="2"/>
  <c r="AF17" i="2"/>
  <c r="AG17" i="2"/>
  <c r="AF16" i="2"/>
  <c r="AG16" i="2"/>
  <c r="AF15" i="2"/>
  <c r="AG15" i="2"/>
  <c r="AF14" i="2"/>
  <c r="AG14" i="2"/>
  <c r="AF13" i="2"/>
  <c r="AG13" i="2"/>
  <c r="AF12" i="2"/>
  <c r="AG12" i="2"/>
  <c r="AF11" i="2"/>
  <c r="AG11" i="2"/>
  <c r="AF10" i="2"/>
  <c r="AG10" i="2"/>
  <c r="AF9" i="2"/>
  <c r="AG9" i="2"/>
  <c r="AF8" i="2"/>
  <c r="AG8" i="2"/>
  <c r="AG7" i="2"/>
  <c r="AH7" i="2"/>
  <c r="AI7" i="2"/>
  <c r="AJ7" i="2"/>
  <c r="AM7" i="2"/>
  <c r="AH8" i="2"/>
  <c r="AM8" i="2"/>
  <c r="AH9" i="2"/>
  <c r="AM9" i="2"/>
  <c r="AH10" i="2"/>
  <c r="AM10" i="2"/>
  <c r="AH11" i="2"/>
  <c r="AI8" i="2"/>
  <c r="AI9" i="2"/>
  <c r="AI10" i="2"/>
  <c r="AJ10" i="2"/>
  <c r="AK10" i="2"/>
  <c r="AM11" i="2"/>
  <c r="AH12" i="2"/>
  <c r="AM12" i="2"/>
  <c r="AH13" i="2"/>
  <c r="AM13" i="2"/>
  <c r="AH14" i="2"/>
  <c r="AM14" i="2"/>
  <c r="AH15" i="2"/>
  <c r="AI11" i="2"/>
  <c r="AI12" i="2"/>
  <c r="AI13" i="2"/>
  <c r="AI14" i="2"/>
  <c r="AJ14" i="2"/>
  <c r="AK14" i="2"/>
  <c r="AM15" i="2"/>
  <c r="AH16" i="2"/>
  <c r="AM16" i="2"/>
  <c r="AH46" i="2"/>
  <c r="AH17" i="2"/>
  <c r="AM17" i="2"/>
  <c r="AH18" i="2"/>
  <c r="AM18" i="2"/>
  <c r="AH19" i="2"/>
  <c r="AI15" i="2"/>
  <c r="AI16" i="2"/>
  <c r="AI17" i="2"/>
  <c r="AI18" i="2"/>
  <c r="AJ18" i="2"/>
  <c r="AK18" i="2"/>
  <c r="AM19" i="2"/>
  <c r="AH20" i="2"/>
  <c r="AM20" i="2"/>
  <c r="AH21" i="2"/>
  <c r="AM21" i="2"/>
  <c r="AH22" i="2"/>
  <c r="AM22" i="2"/>
  <c r="AH23" i="2"/>
  <c r="AI19" i="2"/>
  <c r="AI20" i="2"/>
  <c r="AI21" i="2"/>
  <c r="AI22" i="2"/>
  <c r="AJ22" i="2"/>
  <c r="AK22" i="2"/>
  <c r="AM23" i="2"/>
  <c r="AH24" i="2"/>
  <c r="AM24" i="2"/>
  <c r="AH25" i="2"/>
  <c r="AM25" i="2"/>
  <c r="AH26" i="2"/>
  <c r="AM26" i="2"/>
  <c r="AH27" i="2"/>
  <c r="AI23" i="2"/>
  <c r="AI24" i="2"/>
  <c r="AI25" i="2"/>
  <c r="AI26" i="2"/>
  <c r="AJ26" i="2"/>
  <c r="AK26" i="2"/>
  <c r="AM27" i="2"/>
  <c r="AH28" i="2"/>
  <c r="AM28" i="2"/>
  <c r="AH29" i="2"/>
  <c r="AM29" i="2"/>
  <c r="AH30" i="2"/>
  <c r="AM30" i="2"/>
  <c r="AH31" i="2"/>
  <c r="AI27" i="2"/>
  <c r="AI28" i="2"/>
  <c r="AI29" i="2"/>
  <c r="AI30" i="2"/>
  <c r="AJ30" i="2"/>
  <c r="AK30" i="2"/>
  <c r="AM31" i="2"/>
  <c r="AH32" i="2"/>
  <c r="AM32" i="2"/>
  <c r="AH33" i="2"/>
  <c r="AM33" i="2"/>
  <c r="AH34" i="2"/>
  <c r="AM34" i="2"/>
  <c r="AH35" i="2"/>
  <c r="AI31" i="2"/>
  <c r="AI32" i="2"/>
  <c r="AI33" i="2"/>
  <c r="AI34" i="2"/>
  <c r="AJ34" i="2"/>
  <c r="AK34" i="2"/>
  <c r="AM35" i="2"/>
  <c r="AH36" i="2"/>
  <c r="AM36" i="2"/>
  <c r="AH37" i="2"/>
  <c r="AM37" i="2"/>
  <c r="AH38" i="2"/>
  <c r="AM38" i="2"/>
  <c r="AH39" i="2"/>
  <c r="AI35" i="2"/>
  <c r="AI36" i="2"/>
  <c r="AI37" i="2"/>
  <c r="AI38" i="2"/>
  <c r="AJ38" i="2"/>
  <c r="AK38" i="2"/>
  <c r="AM39" i="2"/>
  <c r="AH40" i="2"/>
  <c r="AM40" i="2"/>
  <c r="AH41" i="2"/>
  <c r="AM41" i="2"/>
  <c r="AH42" i="2"/>
  <c r="AM42" i="2"/>
  <c r="AH43" i="2"/>
  <c r="AI39" i="2"/>
  <c r="AI40" i="2"/>
  <c r="AI41" i="2"/>
  <c r="AI42" i="2"/>
  <c r="AJ42" i="2"/>
  <c r="AK42" i="2"/>
  <c r="AM43" i="2"/>
  <c r="AH44" i="2"/>
  <c r="AM44" i="2"/>
  <c r="AH45" i="2"/>
  <c r="AM45" i="2"/>
  <c r="AM46" i="2"/>
  <c r="AI43" i="2"/>
  <c r="AI44" i="2"/>
  <c r="AI45" i="2"/>
  <c r="AI46" i="2"/>
  <c r="AL46" i="2"/>
  <c r="P5" i="2"/>
  <c r="U45" i="2"/>
  <c r="V45" i="2"/>
  <c r="V44" i="2"/>
  <c r="V43" i="2"/>
  <c r="V42" i="2"/>
  <c r="V41" i="2"/>
  <c r="V40" i="2"/>
  <c r="V39" i="2"/>
  <c r="V38" i="2"/>
  <c r="V37" i="2"/>
  <c r="V36" i="2"/>
  <c r="V35" i="2"/>
  <c r="V34" i="2"/>
  <c r="V33" i="2"/>
  <c r="V32" i="2"/>
  <c r="V31" i="2"/>
  <c r="V30" i="2"/>
  <c r="V29" i="2"/>
  <c r="V28" i="2"/>
  <c r="V27" i="2"/>
  <c r="V26" i="2"/>
  <c r="V25" i="2"/>
  <c r="V24" i="2"/>
  <c r="V23" i="2"/>
  <c r="V22" i="2"/>
  <c r="V21" i="2"/>
  <c r="V20" i="2"/>
  <c r="V19" i="2"/>
  <c r="V18" i="2"/>
  <c r="V17" i="2"/>
  <c r="V16" i="2"/>
  <c r="V15" i="2"/>
  <c r="V14" i="2"/>
  <c r="V13" i="2"/>
  <c r="V12" i="2"/>
  <c r="V11" i="2"/>
  <c r="V10" i="2"/>
  <c r="V9" i="2"/>
  <c r="V8" i="2"/>
  <c r="V7" i="2"/>
  <c r="W7" i="2"/>
  <c r="X7" i="2"/>
  <c r="Y7" i="2"/>
  <c r="AB7" i="2"/>
  <c r="W8" i="2"/>
  <c r="AB8" i="2"/>
  <c r="W9" i="2"/>
  <c r="X8" i="2"/>
  <c r="Y8" i="2"/>
  <c r="Z8" i="2"/>
  <c r="AB9" i="2"/>
  <c r="W10" i="2"/>
  <c r="AB10" i="2"/>
  <c r="W11" i="2"/>
  <c r="X9" i="2"/>
  <c r="X10" i="2"/>
  <c r="Y10" i="2"/>
  <c r="Z10" i="2"/>
  <c r="AB11" i="2"/>
  <c r="W12" i="2"/>
  <c r="AB12" i="2"/>
  <c r="W13" i="2"/>
  <c r="X11" i="2"/>
  <c r="X12" i="2"/>
  <c r="Y12" i="2"/>
  <c r="Z12" i="2"/>
  <c r="AB13" i="2"/>
  <c r="W14" i="2"/>
  <c r="AB14" i="2"/>
  <c r="W15" i="2"/>
  <c r="X13" i="2"/>
  <c r="X14" i="2"/>
  <c r="Y14" i="2"/>
  <c r="Z14" i="2"/>
  <c r="AB15" i="2"/>
  <c r="W16" i="2"/>
  <c r="AB16" i="2"/>
  <c r="W46" i="2"/>
  <c r="W17" i="2"/>
  <c r="X15" i="2"/>
  <c r="X16" i="2"/>
  <c r="Y16" i="2"/>
  <c r="Z16" i="2"/>
  <c r="AB17" i="2"/>
  <c r="W18" i="2"/>
  <c r="AB18" i="2"/>
  <c r="W19" i="2"/>
  <c r="X17" i="2"/>
  <c r="X18" i="2"/>
  <c r="Y18" i="2"/>
  <c r="Z18" i="2"/>
  <c r="AB19" i="2"/>
  <c r="W20" i="2"/>
  <c r="AB20" i="2"/>
  <c r="W21" i="2"/>
  <c r="X19" i="2"/>
  <c r="X20" i="2"/>
  <c r="Y20" i="2"/>
  <c r="Z20" i="2"/>
  <c r="AB21" i="2"/>
  <c r="W22" i="2"/>
  <c r="AB22" i="2"/>
  <c r="W23" i="2"/>
  <c r="X21" i="2"/>
  <c r="X22" i="2"/>
  <c r="Y22" i="2"/>
  <c r="Z22" i="2"/>
  <c r="AB23" i="2"/>
  <c r="W24" i="2"/>
  <c r="AB24" i="2"/>
  <c r="W25" i="2"/>
  <c r="X23" i="2"/>
  <c r="X24" i="2"/>
  <c r="Y24" i="2"/>
  <c r="Z24" i="2"/>
  <c r="AB25" i="2"/>
  <c r="W26" i="2"/>
  <c r="AB26" i="2"/>
  <c r="W27" i="2"/>
  <c r="X25" i="2"/>
  <c r="X26" i="2"/>
  <c r="Y26" i="2"/>
  <c r="Z26" i="2"/>
  <c r="AB27" i="2"/>
  <c r="W28" i="2"/>
  <c r="AB28" i="2"/>
  <c r="W29" i="2"/>
  <c r="X27" i="2"/>
  <c r="X28" i="2"/>
  <c r="Y28" i="2"/>
  <c r="Z28" i="2"/>
  <c r="AB29" i="2"/>
  <c r="W30" i="2"/>
  <c r="AB30" i="2"/>
  <c r="W31" i="2"/>
  <c r="X29" i="2"/>
  <c r="X30" i="2"/>
  <c r="Y30" i="2"/>
  <c r="Z30" i="2"/>
  <c r="AB31" i="2"/>
  <c r="W32" i="2"/>
  <c r="AB32" i="2"/>
  <c r="W33" i="2"/>
  <c r="X31" i="2"/>
  <c r="X32" i="2"/>
  <c r="Y32" i="2"/>
  <c r="Z32" i="2"/>
  <c r="AB33" i="2"/>
  <c r="W34" i="2"/>
  <c r="AB34" i="2"/>
  <c r="W35" i="2"/>
  <c r="X33" i="2"/>
  <c r="X34" i="2"/>
  <c r="Y34" i="2"/>
  <c r="Z34" i="2"/>
  <c r="AB35" i="2"/>
  <c r="W36" i="2"/>
  <c r="AB36" i="2"/>
  <c r="W37" i="2"/>
  <c r="X35" i="2"/>
  <c r="X36" i="2"/>
  <c r="Y36" i="2"/>
  <c r="Z36" i="2"/>
  <c r="AB37" i="2"/>
  <c r="W38" i="2"/>
  <c r="AB38" i="2"/>
  <c r="W39" i="2"/>
  <c r="X37" i="2"/>
  <c r="X38" i="2"/>
  <c r="Y38" i="2"/>
  <c r="Z38" i="2"/>
  <c r="AB39" i="2"/>
  <c r="W40" i="2"/>
  <c r="AB40" i="2"/>
  <c r="W41" i="2"/>
  <c r="X39" i="2"/>
  <c r="X40" i="2"/>
  <c r="Y40" i="2"/>
  <c r="Z40" i="2"/>
  <c r="AB41" i="2"/>
  <c r="W42" i="2"/>
  <c r="AB42" i="2"/>
  <c r="W43" i="2"/>
  <c r="X41" i="2"/>
  <c r="X42" i="2"/>
  <c r="Y42" i="2"/>
  <c r="Z42" i="2"/>
  <c r="AB43" i="2"/>
  <c r="W44" i="2"/>
  <c r="AB44" i="2"/>
  <c r="W45" i="2"/>
  <c r="X43" i="2"/>
  <c r="X44" i="2"/>
  <c r="Y44" i="2"/>
  <c r="Z44" i="2"/>
  <c r="AB45" i="2"/>
  <c r="AB46" i="2"/>
  <c r="X45" i="2"/>
  <c r="X46" i="2"/>
  <c r="AA46" i="2"/>
  <c r="P4" i="2"/>
  <c r="O5" i="2"/>
  <c r="O4" i="2"/>
  <c r="AF46" i="2"/>
  <c r="U46" i="2"/>
  <c r="F12" i="3"/>
  <c r="F11" i="3"/>
  <c r="F10" i="3"/>
  <c r="F9" i="3"/>
  <c r="F8" i="3"/>
  <c r="F7" i="3"/>
  <c r="F6" i="3"/>
  <c r="F5" i="3"/>
  <c r="F4" i="3"/>
  <c r="F3" i="3"/>
  <c r="F2" i="3"/>
  <c r="AG46" i="2"/>
  <c r="AJ8" i="2"/>
  <c r="AK8" i="2"/>
  <c r="AJ12" i="2"/>
  <c r="AK12" i="2"/>
  <c r="AJ16" i="2"/>
  <c r="AK16" i="2"/>
  <c r="AJ20" i="2"/>
  <c r="AK20" i="2"/>
  <c r="AJ24" i="2"/>
  <c r="AK24" i="2"/>
  <c r="AJ28" i="2"/>
  <c r="AK28" i="2"/>
  <c r="AJ32" i="2"/>
  <c r="AK32" i="2"/>
  <c r="AJ36" i="2"/>
  <c r="AK36" i="2"/>
  <c r="AJ40" i="2"/>
  <c r="AK40" i="2"/>
  <c r="AJ44" i="2"/>
  <c r="AK44" i="2"/>
  <c r="AN46" i="2"/>
  <c r="AO46" i="2"/>
  <c r="AN45" i="2"/>
  <c r="AO45" i="2"/>
  <c r="AN44" i="2"/>
  <c r="AO44" i="2"/>
  <c r="AN43" i="2"/>
  <c r="AO43" i="2"/>
  <c r="AN42" i="2"/>
  <c r="AO42" i="2"/>
  <c r="AN41" i="2"/>
  <c r="AO41" i="2"/>
  <c r="AN40" i="2"/>
  <c r="AO40" i="2"/>
  <c r="AN39" i="2"/>
  <c r="AO39" i="2"/>
  <c r="AN38" i="2"/>
  <c r="AO38" i="2"/>
  <c r="AN37" i="2"/>
  <c r="AO37" i="2"/>
  <c r="AN36" i="2"/>
  <c r="AO36" i="2"/>
  <c r="AN35" i="2"/>
  <c r="AO35" i="2"/>
  <c r="AN34" i="2"/>
  <c r="AO34" i="2"/>
  <c r="AN33" i="2"/>
  <c r="AO33" i="2"/>
  <c r="AN32" i="2"/>
  <c r="AO32" i="2"/>
  <c r="AN31" i="2"/>
  <c r="AO31" i="2"/>
  <c r="AN30" i="2"/>
  <c r="AO30" i="2"/>
  <c r="AN29" i="2"/>
  <c r="AO29" i="2"/>
  <c r="AN28" i="2"/>
  <c r="AO28" i="2"/>
  <c r="AN27" i="2"/>
  <c r="AO27" i="2"/>
  <c r="AN26" i="2"/>
  <c r="AO26" i="2"/>
  <c r="AN25" i="2"/>
  <c r="AO25" i="2"/>
  <c r="AN24" i="2"/>
  <c r="AO24" i="2"/>
  <c r="AN23" i="2"/>
  <c r="AO23" i="2"/>
  <c r="AN22" i="2"/>
  <c r="AO22" i="2"/>
  <c r="AN21" i="2"/>
  <c r="AO21" i="2"/>
  <c r="AN20" i="2"/>
  <c r="AO20" i="2"/>
  <c r="AN19" i="2"/>
  <c r="AO19" i="2"/>
  <c r="AN18" i="2"/>
  <c r="AO18" i="2"/>
  <c r="AN17" i="2"/>
  <c r="AO17" i="2"/>
  <c r="AN16" i="2"/>
  <c r="AO16" i="2"/>
  <c r="AN15" i="2"/>
  <c r="AO15" i="2"/>
  <c r="AN14" i="2"/>
  <c r="AO14" i="2"/>
  <c r="AN13" i="2"/>
  <c r="AO13" i="2"/>
  <c r="AN12" i="2"/>
  <c r="AO12" i="2"/>
  <c r="AN11" i="2"/>
  <c r="AO11" i="2"/>
  <c r="AN10" i="2"/>
  <c r="AO10" i="2"/>
  <c r="AN9" i="2"/>
  <c r="AO9" i="2"/>
  <c r="AN8" i="2"/>
  <c r="AO8" i="2"/>
  <c r="AN7" i="2"/>
  <c r="AO7" i="2"/>
  <c r="AO5" i="2"/>
  <c r="Q5" i="2"/>
  <c r="AK7" i="2"/>
  <c r="AL7" i="2"/>
  <c r="AL8" i="2"/>
  <c r="AJ9" i="2"/>
  <c r="AK9" i="2"/>
  <c r="AL9" i="2"/>
  <c r="AL10" i="2"/>
  <c r="AJ11" i="2"/>
  <c r="AK11" i="2"/>
  <c r="AL11" i="2"/>
  <c r="AL12" i="2"/>
  <c r="AJ13" i="2"/>
  <c r="AK13" i="2"/>
  <c r="AL13" i="2"/>
  <c r="AL14" i="2"/>
  <c r="AJ15" i="2"/>
  <c r="AK15" i="2"/>
  <c r="AL15" i="2"/>
  <c r="AL16" i="2"/>
  <c r="AJ17" i="2"/>
  <c r="AK17" i="2"/>
  <c r="AL17" i="2"/>
  <c r="AL18" i="2"/>
  <c r="AJ19" i="2"/>
  <c r="AK19" i="2"/>
  <c r="AL19" i="2"/>
  <c r="AL20" i="2"/>
  <c r="AJ21" i="2"/>
  <c r="AK21" i="2"/>
  <c r="AL21" i="2"/>
  <c r="AL22" i="2"/>
  <c r="AJ23" i="2"/>
  <c r="AK23" i="2"/>
  <c r="AL23" i="2"/>
  <c r="AL24" i="2"/>
  <c r="AJ25" i="2"/>
  <c r="AK25" i="2"/>
  <c r="AL25" i="2"/>
  <c r="AL26" i="2"/>
  <c r="AJ27" i="2"/>
  <c r="AK27" i="2"/>
  <c r="AL27" i="2"/>
  <c r="AL28" i="2"/>
  <c r="AJ29" i="2"/>
  <c r="AK29" i="2"/>
  <c r="AL29" i="2"/>
  <c r="AL30" i="2"/>
  <c r="AJ31" i="2"/>
  <c r="AK31" i="2"/>
  <c r="AL31" i="2"/>
  <c r="AL32" i="2"/>
  <c r="AJ33" i="2"/>
  <c r="AK33" i="2"/>
  <c r="AL33" i="2"/>
  <c r="AL34" i="2"/>
  <c r="AJ35" i="2"/>
  <c r="AK35" i="2"/>
  <c r="AL35" i="2"/>
  <c r="AL36" i="2"/>
  <c r="AJ37" i="2"/>
  <c r="AK37" i="2"/>
  <c r="AL37" i="2"/>
  <c r="AL38" i="2"/>
  <c r="AJ39" i="2"/>
  <c r="AK39" i="2"/>
  <c r="AL39" i="2"/>
  <c r="AL40" i="2"/>
  <c r="AJ41" i="2"/>
  <c r="AK41" i="2"/>
  <c r="AL41" i="2"/>
  <c r="AL42" i="2"/>
  <c r="AJ43" i="2"/>
  <c r="AK43" i="2"/>
  <c r="AL43" i="2"/>
  <c r="AL44" i="2"/>
  <c r="AJ45" i="2"/>
  <c r="AK45" i="2"/>
  <c r="AL45" i="2"/>
  <c r="AJ46" i="2"/>
  <c r="AK46" i="2"/>
  <c r="AC7" i="2"/>
  <c r="AD7" i="2"/>
  <c r="AC8" i="2"/>
  <c r="AD8" i="2"/>
  <c r="AC9" i="2"/>
  <c r="AD9" i="2"/>
  <c r="AC10" i="2"/>
  <c r="AD10" i="2"/>
  <c r="AC11" i="2"/>
  <c r="AD11" i="2"/>
  <c r="AC12" i="2"/>
  <c r="AD12" i="2"/>
  <c r="AC13" i="2"/>
  <c r="AD13" i="2"/>
  <c r="AC14" i="2"/>
  <c r="AD14" i="2"/>
  <c r="AC15" i="2"/>
  <c r="AD15" i="2"/>
  <c r="AC16" i="2"/>
  <c r="AD16" i="2"/>
  <c r="AC17" i="2"/>
  <c r="AD17" i="2"/>
  <c r="AC18" i="2"/>
  <c r="AD18" i="2"/>
  <c r="AC19" i="2"/>
  <c r="AD19" i="2"/>
  <c r="AC20" i="2"/>
  <c r="AD20" i="2"/>
  <c r="AC21" i="2"/>
  <c r="AD21" i="2"/>
  <c r="AC22" i="2"/>
  <c r="AD22" i="2"/>
  <c r="AC23" i="2"/>
  <c r="AD23" i="2"/>
  <c r="AC24" i="2"/>
  <c r="AD24" i="2"/>
  <c r="AC25" i="2"/>
  <c r="AD25" i="2"/>
  <c r="AC26" i="2"/>
  <c r="AD26" i="2"/>
  <c r="AC27" i="2"/>
  <c r="AD27" i="2"/>
  <c r="AC28" i="2"/>
  <c r="AD28" i="2"/>
  <c r="AC29" i="2"/>
  <c r="AD29" i="2"/>
  <c r="AC30" i="2"/>
  <c r="AD30" i="2"/>
  <c r="AC31" i="2"/>
  <c r="AD31" i="2"/>
  <c r="AC32" i="2"/>
  <c r="AD32" i="2"/>
  <c r="AC33" i="2"/>
  <c r="AD33" i="2"/>
  <c r="AC34" i="2"/>
  <c r="AD34" i="2"/>
  <c r="AC35" i="2"/>
  <c r="AD35" i="2"/>
  <c r="AC36" i="2"/>
  <c r="AD36" i="2"/>
  <c r="AC37" i="2"/>
  <c r="AD37" i="2"/>
  <c r="AC38" i="2"/>
  <c r="AD38" i="2"/>
  <c r="AC39" i="2"/>
  <c r="AD39" i="2"/>
  <c r="AC40" i="2"/>
  <c r="AD40" i="2"/>
  <c r="AC41" i="2"/>
  <c r="AD41" i="2"/>
  <c r="AC42" i="2"/>
  <c r="AD42" i="2"/>
  <c r="AC43" i="2"/>
  <c r="AD43" i="2"/>
  <c r="AC44" i="2"/>
  <c r="AD44" i="2"/>
  <c r="AC45" i="2"/>
  <c r="AD45" i="2"/>
  <c r="V46" i="2"/>
  <c r="AC46" i="2"/>
  <c r="AD46" i="2"/>
  <c r="AD5" i="2"/>
  <c r="Q4" i="2"/>
  <c r="M5" i="2"/>
  <c r="N5" i="2"/>
  <c r="R5" i="2"/>
  <c r="S5" i="2"/>
  <c r="R4" i="2"/>
  <c r="S4" i="2"/>
  <c r="Y46" i="2"/>
  <c r="Z46" i="2"/>
  <c r="AA45" i="2"/>
  <c r="Y45" i="2"/>
  <c r="Z45" i="2"/>
  <c r="AA44" i="2"/>
  <c r="AA43" i="2"/>
  <c r="Y43" i="2"/>
  <c r="Z43" i="2"/>
  <c r="AA42" i="2"/>
  <c r="AA41" i="2"/>
  <c r="Y41" i="2"/>
  <c r="Z41" i="2"/>
  <c r="AA40" i="2"/>
  <c r="AA39" i="2"/>
  <c r="Y39" i="2"/>
  <c r="Z39" i="2"/>
  <c r="AA38" i="2"/>
  <c r="AA37" i="2"/>
  <c r="Y37" i="2"/>
  <c r="Z37" i="2"/>
  <c r="AA36" i="2"/>
  <c r="AA35" i="2"/>
  <c r="Y35" i="2"/>
  <c r="Z35" i="2"/>
  <c r="AA34" i="2"/>
  <c r="AA33" i="2"/>
  <c r="Y33" i="2"/>
  <c r="Z33" i="2"/>
  <c r="AA32" i="2"/>
  <c r="AA31" i="2"/>
  <c r="Y31" i="2"/>
  <c r="Z31" i="2"/>
  <c r="AA30" i="2"/>
  <c r="AA29" i="2"/>
  <c r="Y29" i="2"/>
  <c r="Z29" i="2"/>
  <c r="AA28" i="2"/>
  <c r="AA27" i="2"/>
  <c r="Y27" i="2"/>
  <c r="Z27" i="2"/>
  <c r="AA26" i="2"/>
  <c r="AA25" i="2"/>
  <c r="Y25" i="2"/>
  <c r="Z25" i="2"/>
  <c r="AA24" i="2"/>
  <c r="AA23" i="2"/>
  <c r="Y23" i="2"/>
  <c r="Z23" i="2"/>
  <c r="AA22" i="2"/>
  <c r="AA21" i="2"/>
  <c r="Y21" i="2"/>
  <c r="Z21" i="2"/>
  <c r="AA20" i="2"/>
  <c r="AA19" i="2"/>
  <c r="Y19" i="2"/>
  <c r="Z19" i="2"/>
  <c r="AA18" i="2"/>
  <c r="M4" i="2"/>
  <c r="N4" i="2"/>
  <c r="AA17" i="2"/>
  <c r="Y17" i="2"/>
  <c r="Z17" i="2"/>
  <c r="AA16" i="2"/>
  <c r="AA15" i="2"/>
  <c r="Y15" i="2"/>
  <c r="Z15" i="2"/>
  <c r="AA14" i="2"/>
  <c r="AA13" i="2"/>
  <c r="Y13" i="2"/>
  <c r="Z13" i="2"/>
  <c r="AA12" i="2"/>
  <c r="AA11" i="2"/>
  <c r="Y11" i="2"/>
  <c r="Z11" i="2"/>
  <c r="AA10" i="2"/>
  <c r="AA9" i="2"/>
  <c r="Y9" i="2"/>
  <c r="Z9" i="2"/>
  <c r="AA8" i="2"/>
  <c r="AA7" i="2"/>
  <c r="Z7" i="2"/>
</calcChain>
</file>

<file path=xl/comments1.xml><?xml version="1.0" encoding="utf-8"?>
<comments xmlns="http://schemas.openxmlformats.org/spreadsheetml/2006/main">
  <authors>
    <author>Author</author>
    <author>Rafael Nicolas Fermin Cota</author>
  </authors>
  <commentList>
    <comment ref="B3" authorId="0">
      <text>
        <r>
          <rPr>
            <b/>
            <sz val="9"/>
            <color indexed="81"/>
            <rFont val="Tahoma"/>
            <family val="2"/>
          </rPr>
          <t>NICO</t>
        </r>
        <r>
          <rPr>
            <sz val="9"/>
            <color indexed="81"/>
            <rFont val="Tahoma"/>
            <family val="2"/>
          </rPr>
          <t>:
Estimate of overall smartphone market in billions of dollars In most recent year</t>
        </r>
      </text>
    </comment>
    <comment ref="C3" authorId="0">
      <text>
        <r>
          <rPr>
            <b/>
            <sz val="9"/>
            <color indexed="81"/>
            <rFont val="Tahoma"/>
            <family val="2"/>
          </rPr>
          <t>NICO:</t>
        </r>
        <r>
          <rPr>
            <sz val="9"/>
            <color indexed="81"/>
            <rFont val="Tahoma"/>
            <family val="2"/>
          </rPr>
          <t xml:space="preserve">
Growth rate in entire smartphone market in dollar terms for next X1 (10) years, tapers down to lower rate in X2 (Y) years.</t>
        </r>
      </text>
    </comment>
    <comment ref="D3" authorId="0">
      <text>
        <r>
          <rPr>
            <b/>
            <sz val="9"/>
            <color indexed="81"/>
            <rFont val="Tahoma"/>
            <family val="2"/>
          </rPr>
          <t>NICO:</t>
        </r>
        <r>
          <rPr>
            <sz val="9"/>
            <color indexed="81"/>
            <rFont val="Tahoma"/>
            <family val="2"/>
          </rPr>
          <t xml:space="preserve">
Current market share for Apple iPhone in dollar terms; in unit terms Apple has only 25% but gets higher price/unit</t>
        </r>
      </text>
    </comment>
    <comment ref="E3" authorId="0">
      <text>
        <r>
          <rPr>
            <b/>
            <sz val="9"/>
            <color indexed="81"/>
            <rFont val="Tahoma"/>
            <family val="2"/>
          </rPr>
          <t>NICO:</t>
        </r>
        <r>
          <rPr>
            <sz val="9"/>
            <color indexed="81"/>
            <rFont val="Tahoma"/>
            <family val="2"/>
          </rPr>
          <t xml:space="preserve">
After-tax operating margin on Apple iPhones</t>
        </r>
      </text>
    </comment>
    <comment ref="F3" authorId="0">
      <text>
        <r>
          <rPr>
            <b/>
            <sz val="9"/>
            <color indexed="81"/>
            <rFont val="Tahoma"/>
            <family val="2"/>
          </rPr>
          <t>NICO:</t>
        </r>
        <r>
          <rPr>
            <sz val="9"/>
            <color indexed="81"/>
            <rFont val="Tahoma"/>
            <family val="2"/>
          </rPr>
          <t xml:space="preserve">
Assume that new product has to come out once cycle</t>
        </r>
      </text>
    </comment>
    <comment ref="G3" authorId="0">
      <text>
        <r>
          <rPr>
            <b/>
            <sz val="9"/>
            <color indexed="81"/>
            <rFont val="Tahoma"/>
            <family val="2"/>
          </rPr>
          <t>NICO:</t>
        </r>
        <r>
          <rPr>
            <sz val="9"/>
            <color indexed="81"/>
            <rFont val="Tahoma"/>
            <family val="2"/>
          </rPr>
          <t xml:space="preserve">
At cycle end, this is the percent of iPhone customers who switch out of Apple iPhones to competitor smart phones.</t>
        </r>
      </text>
    </comment>
    <comment ref="H3" authorId="0">
      <text>
        <r>
          <rPr>
            <b/>
            <sz val="9"/>
            <color indexed="81"/>
            <rFont val="Tahoma"/>
            <family val="2"/>
          </rPr>
          <t>NICO:</t>
        </r>
        <r>
          <rPr>
            <sz val="9"/>
            <color indexed="81"/>
            <rFont val="Tahoma"/>
            <family val="2"/>
          </rPr>
          <t xml:space="preserve">
At cycle end, this is the percent of competitors customers who switch into iPhones</t>
        </r>
      </text>
    </comment>
    <comment ref="I3" authorId="0">
      <text>
        <r>
          <rPr>
            <b/>
            <sz val="9"/>
            <color indexed="81"/>
            <rFont val="Tahoma"/>
            <family val="2"/>
          </rPr>
          <t>NICO:</t>
        </r>
        <r>
          <rPr>
            <sz val="9"/>
            <color indexed="81"/>
            <rFont val="Tahoma"/>
            <family val="2"/>
          </rPr>
          <t xml:space="preserve">
This is the investment that Apple has to make in its next version of iPhone and is assumed to happen only in the cycle year</t>
        </r>
      </text>
    </comment>
    <comment ref="J3" authorId="0">
      <text>
        <r>
          <rPr>
            <b/>
            <sz val="9"/>
            <color indexed="81"/>
            <rFont val="Tahoma"/>
            <family val="2"/>
          </rPr>
          <t>NICO:</t>
        </r>
        <r>
          <rPr>
            <sz val="9"/>
            <color indexed="81"/>
            <rFont val="Tahoma"/>
            <family val="2"/>
          </rPr>
          <t xml:space="preserve">
This is the cost of capital for just this business.</t>
        </r>
      </text>
    </comment>
    <comment ref="K3" authorId="0">
      <text>
        <r>
          <rPr>
            <b/>
            <sz val="9"/>
            <color indexed="81"/>
            <rFont val="Tahoma"/>
            <family val="2"/>
          </rPr>
          <t>NICO:</t>
        </r>
        <r>
          <rPr>
            <sz val="9"/>
            <color indexed="81"/>
            <rFont val="Tahoma"/>
            <family val="2"/>
          </rPr>
          <t xml:space="preserve">
10-year US treasury bond rate</t>
        </r>
      </text>
    </comment>
    <comment ref="L3" authorId="1">
      <text>
        <r>
          <rPr>
            <b/>
            <sz val="9"/>
            <color indexed="81"/>
            <rFont val="Calibri"/>
            <family val="2"/>
          </rPr>
          <t>Rafael Nicolas Fermin Cota:</t>
        </r>
        <r>
          <rPr>
            <sz val="9"/>
            <color indexed="81"/>
            <rFont val="Calibri"/>
            <family val="2"/>
          </rPr>
          <t xml:space="preserve">
For market share and revenue in year t</t>
        </r>
      </text>
    </comment>
    <comment ref="M3" authorId="0">
      <text>
        <r>
          <rPr>
            <b/>
            <sz val="9"/>
            <color indexed="81"/>
            <rFont val="Tahoma"/>
            <family val="2"/>
          </rPr>
          <t>NICO:</t>
        </r>
        <r>
          <rPr>
            <sz val="9"/>
            <color indexed="81"/>
            <rFont val="Tahoma"/>
            <family val="2"/>
          </rPr>
          <t xml:space="preserve">
Apple's iPhone revenues in most recent year</t>
        </r>
      </text>
    </comment>
    <comment ref="N3" authorId="0">
      <text>
        <r>
          <rPr>
            <b/>
            <sz val="9"/>
            <color indexed="81"/>
            <rFont val="Tahoma"/>
            <family val="2"/>
          </rPr>
          <t>NICO:</t>
        </r>
        <r>
          <rPr>
            <sz val="9"/>
            <color indexed="81"/>
            <rFont val="Tahoma"/>
            <family val="2"/>
          </rPr>
          <t xml:space="preserve">
Apple's iPhone after-tax operating profit in most recent year</t>
        </r>
      </text>
    </comment>
    <comment ref="O3" authorId="0">
      <text>
        <r>
          <rPr>
            <b/>
            <sz val="9"/>
            <color indexed="81"/>
            <rFont val="Tahoma"/>
            <family val="2"/>
          </rPr>
          <t>NICO:</t>
        </r>
        <r>
          <rPr>
            <sz val="9"/>
            <color indexed="81"/>
            <rFont val="Tahoma"/>
            <family val="2"/>
          </rPr>
          <t xml:space="preserve">
Predicted revenues for iPhone successor at the end of X2 (40) years</t>
        </r>
      </text>
    </comment>
    <comment ref="P3" authorId="0">
      <text>
        <r>
          <rPr>
            <b/>
            <sz val="9"/>
            <color indexed="81"/>
            <rFont val="Tahoma"/>
            <family val="2"/>
          </rPr>
          <t>NICO:</t>
        </r>
        <r>
          <rPr>
            <sz val="9"/>
            <color indexed="81"/>
            <rFont val="Tahoma"/>
            <family val="2"/>
          </rPr>
          <t xml:space="preserve">
Apple's predicted market share in dollar terms, given switching assumptions above</t>
        </r>
      </text>
    </comment>
    <comment ref="Q3" authorId="0">
      <text>
        <r>
          <rPr>
            <b/>
            <sz val="9"/>
            <color indexed="81"/>
            <rFont val="Tahoma"/>
            <family val="2"/>
          </rPr>
          <t>NICO:</t>
        </r>
        <r>
          <rPr>
            <sz val="9"/>
            <color indexed="81"/>
            <rFont val="Tahoma"/>
            <family val="2"/>
          </rPr>
          <t xml:space="preserve">
Estimated value in billions of dollars of iPhone as a product</t>
        </r>
      </text>
    </comment>
    <comment ref="R3" authorId="0">
      <text>
        <r>
          <rPr>
            <b/>
            <sz val="9"/>
            <color indexed="81"/>
            <rFont val="Tahoma"/>
            <family val="2"/>
          </rPr>
          <t>NICO:</t>
        </r>
        <r>
          <rPr>
            <sz val="9"/>
            <color indexed="81"/>
            <rFont val="Tahoma"/>
            <family val="2"/>
          </rPr>
          <t xml:space="preserve">
Estimated value as a multiple of revenues for iPhone as a product</t>
        </r>
      </text>
    </comment>
    <comment ref="S3" authorId="0">
      <text>
        <r>
          <rPr>
            <b/>
            <sz val="9"/>
            <color indexed="81"/>
            <rFont val="Tahoma"/>
            <family val="2"/>
          </rPr>
          <t>NICO:</t>
        </r>
        <r>
          <rPr>
            <sz val="9"/>
            <color indexed="81"/>
            <rFont val="Tahoma"/>
            <family val="2"/>
          </rPr>
          <t xml:space="preserve">
Estimated multiple of after-tax operating income. Given that Apple has no debt, this is roughly the PE ratio for just the iPhone earnings.</t>
        </r>
      </text>
    </comment>
    <comment ref="V3" authorId="0">
      <text>
        <r>
          <rPr>
            <sz val="9"/>
            <color indexed="81"/>
            <rFont val="Tahoma"/>
            <family val="2"/>
          </rPr>
          <t xml:space="preserve">One of the reasons for Apple's disappointing earnings in the most recent quarter is that customers stopped buying the iPhone 4S, waiting for the iPhone 5 to arrive. Since the iPhone 4 came out in June 2010 and the iPhone 4S was introduced in October 2011, that puts about a two-year life cycle on the product.  So what? Companies like P&amp;G or Coca Cola produce products that have very long life cycles; diapers and sodas have not only not changed much over the last few decades but are unlikely to change by much over the next few. Protected by strong brand names, they can be expected to generate earnings for long periods, with relatively little investment or innovation by the companies in question. With a short product life cycle, a company is faced with two challenges. First, it has to come up with innovations to its product to retain its customers when the cycle is renewed, and that will require investment, especially during the later parts of each cycle. Second, even with these innovations, there will be customers who switch to competitors' products (either because they are cheaper or because their innovations are more attractive) and for a company to maintain it's market share, it has to get more of it's competitors' customers to switch to its products. </t>
        </r>
      </text>
    </comment>
    <comment ref="Y3" authorId="0">
      <text>
        <r>
          <rPr>
            <sz val="9"/>
            <color indexed="81"/>
            <rFont val="Tahoma"/>
            <family val="2"/>
          </rPr>
          <t>In the most recent twelve months, the iPhone generated about $100 billion in revenues and approximately $21 billion in after-tax profits for Apple</t>
        </r>
      </text>
    </comment>
    <comment ref="AA3" authorId="0">
      <text>
        <r>
          <rPr>
            <sz val="9"/>
            <color indexed="81"/>
            <rFont val="Tahoma"/>
            <family val="2"/>
          </rPr>
          <t xml:space="preserve">The smartphone market grew about 40% last year,  primarily as cell phone users switch to smart phones. During the year,  more than 150 million smart phones were sold, with Apple accounting for about 20% of the units sold. However, with its heftier price tag on the iPhones, Apple had a 43% share of the market, if it is defined in dollar revenues. </t>
        </r>
      </text>
    </comment>
    <comment ref="AG3" authorId="0">
      <text>
        <r>
          <rPr>
            <sz val="9"/>
            <color indexed="81"/>
            <rFont val="Tahoma"/>
            <family val="2"/>
          </rPr>
          <t xml:space="preserve">One of the reasons for Apple's disappointing earnings in the most recent quarter is that customers stopped buying the iPhone 4S, waiting for the iPhone 5 to arrive. Since the iPhone 4 came out in June 2010 and the iPhone 4S was introduced in October 2011, that puts about a two-year life cycle on the product.  So what? Companies like P&amp;G or Coca Cola produce products that have very long life cycles; diapers and sodas have not only not changed much over the last few decades but are unlikely to change by much over the next few. Protected by strong brand names, they can be expected to generate earnings for long periods, with relatively little investment or innovation by the companies in question. With a short product life cycle, a company is faced with two challenges. First, it has to come up with innovations to its product to retain its customers when the cycle is renewed, and that will require investment, especially during the later parts of each cycle. Second, even with these innovations, there will be customers who switch to competitors' products (either because they are cheaper or because their innovations are more attractive) and for a company to maintain it's market share, it has to get more of it's competitors' customers to switch to its products. </t>
        </r>
      </text>
    </comment>
    <comment ref="AJ3" authorId="0">
      <text>
        <r>
          <rPr>
            <sz val="9"/>
            <color indexed="81"/>
            <rFont val="Tahoma"/>
            <family val="2"/>
          </rPr>
          <t>In the most recent twelve months, the iPhone generated about $100 billion in revenues and approximately $21 billion in after-tax profits for Apple</t>
        </r>
      </text>
    </comment>
    <comment ref="AL3" authorId="0">
      <text>
        <r>
          <rPr>
            <sz val="9"/>
            <color indexed="81"/>
            <rFont val="Tahoma"/>
            <family val="2"/>
          </rPr>
          <t xml:space="preserve">The smartphone market grew about 40% last year,  primarily as cell phone users switch to smart phones. During the year,  more than 150 million smart phones were sold, with Apple accounting for about 20% of the units sold. However, with its heftier price tag on the iPhones, Apple had a 43% share of the market, if it is defined in dollar revenues. </t>
        </r>
      </text>
    </comment>
    <comment ref="C4" authorId="0">
      <text>
        <r>
          <rPr>
            <sz val="9"/>
            <color indexed="81"/>
            <rFont val="Tahoma"/>
            <family val="2"/>
          </rPr>
          <t xml:space="preserve">The smart phone market will continue to grow at a 6% compounded rate for the next 10 years, with growth tapering down towards the growth rate of the economy in the long term. </t>
        </r>
      </text>
    </comment>
    <comment ref="E4" authorId="0">
      <text>
        <r>
          <rPr>
            <sz val="9"/>
            <color indexed="81"/>
            <rFont val="Tahoma"/>
            <family val="2"/>
          </rPr>
          <t>Apple will be able to maintain its current after-tax operating margin of 21% on future iPhone sales.</t>
        </r>
      </text>
    </comment>
    <comment ref="F4" authorId="0">
      <text>
        <r>
          <rPr>
            <sz val="9"/>
            <color indexed="81"/>
            <rFont val="Tahoma"/>
            <family val="2"/>
          </rPr>
          <t>Given the iPhone's profitability and dominance in the growing smartphone market, lets try to value the iPhone franchise, incorporating the effect of the short life cycle.
The life cycle for a new iPhone will continue to be two years and Apple will have to reinvest half its after-tax operating income in the second year of each cycle (this 50% also incorporate the lost sales in the second year, as each iPhone ages and customers wait for the next version).</t>
        </r>
      </text>
    </comment>
    <comment ref="G4" authorId="0">
      <text>
        <r>
          <rPr>
            <sz val="9"/>
            <color indexed="81"/>
            <rFont val="Tahoma"/>
            <family val="2"/>
          </rPr>
          <t xml:space="preserve">iPhone customers are assumed to be loyal, with only 5% switching to competitors' products at the end of each life cycle. </t>
        </r>
      </text>
    </comment>
    <comment ref="H4" authorId="0">
      <text>
        <r>
          <rPr>
            <sz val="9"/>
            <color indexed="81"/>
            <rFont val="Tahoma"/>
            <family val="2"/>
          </rPr>
          <t xml:space="preserve">Apple will be more successful at attracting competitors' customers, with 10% switching into iPhones. </t>
        </r>
      </text>
    </comment>
    <comment ref="J4" authorId="0">
      <text>
        <r>
          <rPr>
            <sz val="9"/>
            <color indexed="81"/>
            <rFont val="Tahoma"/>
            <family val="2"/>
          </rPr>
          <t>Needless to say, there is substantial risk in this process and the cost of capital of 11% (at the 90th percentile for US companies) reflects that risk.</t>
        </r>
      </text>
    </comment>
    <comment ref="C5" authorId="0">
      <text>
        <r>
          <rPr>
            <sz val="9"/>
            <color indexed="81"/>
            <rFont val="Tahoma"/>
            <family val="2"/>
          </rPr>
          <t xml:space="preserve">The smart phone market will continue to grow at a 6% compounded rate for the next 10 years, with growth tapering down towards the growth rate of the economy in the long term. </t>
        </r>
      </text>
    </comment>
    <comment ref="E5" authorId="0">
      <text>
        <r>
          <rPr>
            <sz val="9"/>
            <color indexed="81"/>
            <rFont val="Tahoma"/>
            <family val="2"/>
          </rPr>
          <t>Apple will be able to maintain its current after-tax operating margin of 21% on future iPhone sales.</t>
        </r>
      </text>
    </comment>
    <comment ref="F5" authorId="0">
      <text>
        <r>
          <rPr>
            <sz val="9"/>
            <color indexed="81"/>
            <rFont val="Tahoma"/>
            <family val="2"/>
          </rPr>
          <t>Given the iPhone's profitability and dominance in the growing smartphone market, lets try to value the iPhone franchise, incorporating the effect of the short life cycle.
The life cycle for a new iPhone will continue to be two years and Apple will have to reinvest half its after-tax operating income in the second year of each cycle (this 50% also incorporate the lost sales in the second year, as each iPhone ages and customers wait for the next version).</t>
        </r>
      </text>
    </comment>
    <comment ref="G5" authorId="0">
      <text>
        <r>
          <rPr>
            <sz val="9"/>
            <color indexed="81"/>
            <rFont val="Tahoma"/>
            <family val="2"/>
          </rPr>
          <t xml:space="preserve">iPhone customers are assumed to be loyal, with only 5% switching to competitors' products at the end of each life cycle. </t>
        </r>
      </text>
    </comment>
    <comment ref="H5" authorId="0">
      <text>
        <r>
          <rPr>
            <sz val="9"/>
            <color indexed="81"/>
            <rFont val="Tahoma"/>
            <family val="2"/>
          </rPr>
          <t xml:space="preserve">Apple will be more successful at attracting competitors' customers, with 10% switching into iPhones. </t>
        </r>
      </text>
    </comment>
    <comment ref="J5" authorId="0">
      <text>
        <r>
          <rPr>
            <sz val="9"/>
            <color indexed="81"/>
            <rFont val="Tahoma"/>
            <family val="2"/>
          </rPr>
          <t>Needless to say, there is substantial risk in this process and the cost of capital of 11% (at the 90th percentile for US companies) reflects that risk.</t>
        </r>
      </text>
    </comment>
    <comment ref="C6" authorId="0">
      <text>
        <r>
          <rPr>
            <sz val="9"/>
            <color indexed="81"/>
            <rFont val="Tahoma"/>
            <family val="2"/>
          </rPr>
          <t xml:space="preserve">The smart phone market will continue to grow at a 6% compounded rate for the next 10 years, with growth tapering down towards the growth rate of the economy in the long term. </t>
        </r>
      </text>
    </comment>
    <comment ref="E6" authorId="0">
      <text>
        <r>
          <rPr>
            <sz val="9"/>
            <color indexed="81"/>
            <rFont val="Tahoma"/>
            <family val="2"/>
          </rPr>
          <t>Apple will be able to maintain its current after-tax operating margin of 21% on future iPhone sales.</t>
        </r>
      </text>
    </comment>
    <comment ref="F6" authorId="0">
      <text>
        <r>
          <rPr>
            <sz val="9"/>
            <color indexed="81"/>
            <rFont val="Tahoma"/>
            <family val="2"/>
          </rPr>
          <t>Given the iPhone's profitability and dominance in the growing smartphone market, lets try to value the iPhone franchise, incorporating the effect of the short life cycle.
The life cycle for a new iPhone will continue to be two years and Apple will have to reinvest half its after-tax operating income in the second year of each cycle (this 50% also incorporate the lost sales in the second year, as each iPhone ages and customers wait for the next version).</t>
        </r>
      </text>
    </comment>
    <comment ref="G6" authorId="0">
      <text>
        <r>
          <rPr>
            <sz val="9"/>
            <color indexed="81"/>
            <rFont val="Tahoma"/>
            <family val="2"/>
          </rPr>
          <t xml:space="preserve">iPhone customers are assumed to be loyal, with only 5% switching to competitors' products at the end of each life cycle. </t>
        </r>
      </text>
    </comment>
    <comment ref="H6" authorId="0">
      <text>
        <r>
          <rPr>
            <sz val="9"/>
            <color indexed="81"/>
            <rFont val="Tahoma"/>
            <family val="2"/>
          </rPr>
          <t xml:space="preserve">Apple will be more successful at attracting competitors' customers, with 10% switching into iPhones. </t>
        </r>
      </text>
    </comment>
    <comment ref="J6" authorId="0">
      <text>
        <r>
          <rPr>
            <sz val="9"/>
            <color indexed="81"/>
            <rFont val="Tahoma"/>
            <family val="2"/>
          </rPr>
          <t>Needless to say, there is substantial risk in this process and the cost of capital of 11% (at the 90th percentile for US companies) reflects that risk.</t>
        </r>
      </text>
    </comment>
    <comment ref="C7" authorId="0">
      <text>
        <r>
          <rPr>
            <sz val="9"/>
            <color indexed="81"/>
            <rFont val="Tahoma"/>
            <family val="2"/>
          </rPr>
          <t xml:space="preserve">The smart phone market will continue to grow at a 6% compounded rate for the next 10 years, with growth tapering down towards the growth rate of the economy in the long term. </t>
        </r>
      </text>
    </comment>
    <comment ref="E7" authorId="0">
      <text>
        <r>
          <rPr>
            <sz val="9"/>
            <color indexed="81"/>
            <rFont val="Tahoma"/>
            <family val="2"/>
          </rPr>
          <t>Apple will be able to maintain its current after-tax operating margin of 21% on future iPhone sales.</t>
        </r>
      </text>
    </comment>
    <comment ref="F7" authorId="0">
      <text>
        <r>
          <rPr>
            <sz val="9"/>
            <color indexed="81"/>
            <rFont val="Tahoma"/>
            <family val="2"/>
          </rPr>
          <t>Given the iPhone's profitability and dominance in the growing smartphone market, lets try to value the iPhone franchise, incorporating the effect of the short life cycle.
The life cycle for a new iPhone will continue to be two years and Apple will have to reinvest half its after-tax operating income in the second year of each cycle (this 50% also incorporate the lost sales in the second year, as each iPhone ages and customers wait for the next version).</t>
        </r>
      </text>
    </comment>
    <comment ref="G7" authorId="0">
      <text>
        <r>
          <rPr>
            <sz val="9"/>
            <color indexed="81"/>
            <rFont val="Tahoma"/>
            <family val="2"/>
          </rPr>
          <t xml:space="preserve">iPhone customers are assumed to be loyal, with only 5% switching to competitors' products at the end of each life cycle. </t>
        </r>
      </text>
    </comment>
    <comment ref="H7" authorId="0">
      <text>
        <r>
          <rPr>
            <sz val="9"/>
            <color indexed="81"/>
            <rFont val="Tahoma"/>
            <family val="2"/>
          </rPr>
          <t xml:space="preserve">Apple will be more successful at attracting competitors' customers, with 10% switching into iPhones. </t>
        </r>
      </text>
    </comment>
    <comment ref="J7" authorId="0">
      <text>
        <r>
          <rPr>
            <sz val="9"/>
            <color indexed="81"/>
            <rFont val="Tahoma"/>
            <family val="2"/>
          </rPr>
          <t>Needless to say, there is substantial risk in this process and the cost of capital of 11% (at the 90th percentile for US companies) reflects that risk.</t>
        </r>
      </text>
    </comment>
    <comment ref="C8" authorId="0">
      <text>
        <r>
          <rPr>
            <sz val="9"/>
            <color indexed="81"/>
            <rFont val="Tahoma"/>
            <family val="2"/>
          </rPr>
          <t xml:space="preserve">The smart phone market will continue to grow at a 6% compounded rate for the next 10 years, with growth tapering down towards the growth rate of the economy in the long term. </t>
        </r>
      </text>
    </comment>
    <comment ref="E8" authorId="0">
      <text>
        <r>
          <rPr>
            <sz val="9"/>
            <color indexed="81"/>
            <rFont val="Tahoma"/>
            <family val="2"/>
          </rPr>
          <t>Apple will be able to maintain its current after-tax operating margin of 21% on future iPhone sales.</t>
        </r>
      </text>
    </comment>
    <comment ref="F8" authorId="0">
      <text>
        <r>
          <rPr>
            <sz val="9"/>
            <color indexed="81"/>
            <rFont val="Tahoma"/>
            <family val="2"/>
          </rPr>
          <t>Given the iPhone's profitability and dominance in the growing smartphone market, lets try to value the iPhone franchise, incorporating the effect of the short life cycle.
The life cycle for a new iPhone will continue to be two years and Apple will have to reinvest half its after-tax operating income in the second year of each cycle (this 50% also incorporate the lost sales in the second year, as each iPhone ages and customers wait for the next version).</t>
        </r>
      </text>
    </comment>
    <comment ref="G8" authorId="0">
      <text>
        <r>
          <rPr>
            <sz val="9"/>
            <color indexed="81"/>
            <rFont val="Tahoma"/>
            <family val="2"/>
          </rPr>
          <t xml:space="preserve">iPhone customers are assumed to be loyal, with only 5% switching to competitors' products at the end of each life cycle. </t>
        </r>
      </text>
    </comment>
    <comment ref="H8" authorId="0">
      <text>
        <r>
          <rPr>
            <sz val="9"/>
            <color indexed="81"/>
            <rFont val="Tahoma"/>
            <family val="2"/>
          </rPr>
          <t xml:space="preserve">Apple will be more successful at attracting competitors' customers, with 10% switching into iPhones. </t>
        </r>
      </text>
    </comment>
    <comment ref="J8" authorId="0">
      <text>
        <r>
          <rPr>
            <sz val="9"/>
            <color indexed="81"/>
            <rFont val="Tahoma"/>
            <family val="2"/>
          </rPr>
          <t>Needless to say, there is substantial risk in this process and the cost of capital of 11% (at the 90th percentile for US companies) reflects that risk.</t>
        </r>
      </text>
    </comment>
    <comment ref="C9" authorId="0">
      <text>
        <r>
          <rPr>
            <sz val="9"/>
            <color indexed="81"/>
            <rFont val="Tahoma"/>
            <family val="2"/>
          </rPr>
          <t xml:space="preserve">The smart phone market will continue to grow at a 6% compounded rate for the next 10 years, with growth tapering down towards the growth rate of the economy in the long term. </t>
        </r>
      </text>
    </comment>
    <comment ref="E9" authorId="0">
      <text>
        <r>
          <rPr>
            <sz val="9"/>
            <color indexed="81"/>
            <rFont val="Tahoma"/>
            <family val="2"/>
          </rPr>
          <t>Apple will be able to maintain its current after-tax operating margin of 21% on future iPhone sales.</t>
        </r>
      </text>
    </comment>
    <comment ref="F9" authorId="0">
      <text>
        <r>
          <rPr>
            <sz val="9"/>
            <color indexed="81"/>
            <rFont val="Tahoma"/>
            <family val="2"/>
          </rPr>
          <t>Given the iPhone's profitability and dominance in the growing smartphone market, lets try to value the iPhone franchise, incorporating the effect of the short life cycle.
The life cycle for a new iPhone will continue to be two years and Apple will have to reinvest half its after-tax operating income in the second year of each cycle (this 50% also incorporate the lost sales in the second year, as each iPhone ages and customers wait for the next version).</t>
        </r>
      </text>
    </comment>
    <comment ref="G9" authorId="0">
      <text>
        <r>
          <rPr>
            <sz val="9"/>
            <color indexed="81"/>
            <rFont val="Tahoma"/>
            <family val="2"/>
          </rPr>
          <t xml:space="preserve">iPhone customers are assumed to be loyal, with only 5% switching to competitors' products at the end of each life cycle. </t>
        </r>
      </text>
    </comment>
    <comment ref="H9" authorId="0">
      <text>
        <r>
          <rPr>
            <sz val="9"/>
            <color indexed="81"/>
            <rFont val="Tahoma"/>
            <family val="2"/>
          </rPr>
          <t xml:space="preserve">Apple will be more successful at attracting competitors' customers, with 10% switching into iPhones. </t>
        </r>
      </text>
    </comment>
    <comment ref="J9" authorId="0">
      <text>
        <r>
          <rPr>
            <sz val="9"/>
            <color indexed="81"/>
            <rFont val="Tahoma"/>
            <family val="2"/>
          </rPr>
          <t>Needless to say, there is substantial risk in this process and the cost of capital of 11% (at the 90th percentile for US companies) reflects that risk.</t>
        </r>
      </text>
    </comment>
    <comment ref="C10" authorId="0">
      <text>
        <r>
          <rPr>
            <sz val="9"/>
            <color indexed="81"/>
            <rFont val="Tahoma"/>
            <family val="2"/>
          </rPr>
          <t xml:space="preserve">The smart phone market will continue to grow at a 6% compounded rate for the next 10 years, with growth tapering down towards the growth rate of the economy in the long term. </t>
        </r>
      </text>
    </comment>
    <comment ref="E10" authorId="0">
      <text>
        <r>
          <rPr>
            <sz val="9"/>
            <color indexed="81"/>
            <rFont val="Tahoma"/>
            <family val="2"/>
          </rPr>
          <t>Apple will be able to maintain its current after-tax operating margin of 21% on future iPhone sales.</t>
        </r>
      </text>
    </comment>
    <comment ref="F10" authorId="0">
      <text>
        <r>
          <rPr>
            <sz val="9"/>
            <color indexed="81"/>
            <rFont val="Tahoma"/>
            <family val="2"/>
          </rPr>
          <t>Given the iPhone's profitability and dominance in the growing smartphone market, lets try to value the iPhone franchise, incorporating the effect of the short life cycle.
The life cycle for a new iPhone will continue to be two years and Apple will have to reinvest half its after-tax operating income in the second year of each cycle (this 50% also incorporate the lost sales in the second year, as each iPhone ages and customers wait for the next version).</t>
        </r>
      </text>
    </comment>
    <comment ref="G10" authorId="0">
      <text>
        <r>
          <rPr>
            <sz val="9"/>
            <color indexed="81"/>
            <rFont val="Tahoma"/>
            <family val="2"/>
          </rPr>
          <t xml:space="preserve">iPhone customers are assumed to be loyal, with only 5% switching to competitors' products at the end of each life cycle. </t>
        </r>
      </text>
    </comment>
    <comment ref="H10" authorId="0">
      <text>
        <r>
          <rPr>
            <sz val="9"/>
            <color indexed="81"/>
            <rFont val="Tahoma"/>
            <family val="2"/>
          </rPr>
          <t xml:space="preserve">Apple will be more successful at attracting competitors' customers, with 10% switching into iPhones. </t>
        </r>
      </text>
    </comment>
    <comment ref="J10" authorId="0">
      <text>
        <r>
          <rPr>
            <sz val="9"/>
            <color indexed="81"/>
            <rFont val="Tahoma"/>
            <family val="2"/>
          </rPr>
          <t>Needless to say, there is substantial risk in this process and the cost of capital of 11% (at the 90th percentile for US companies) reflects that risk.</t>
        </r>
      </text>
    </comment>
    <comment ref="C11" authorId="0">
      <text>
        <r>
          <rPr>
            <sz val="9"/>
            <color indexed="81"/>
            <rFont val="Tahoma"/>
            <family val="2"/>
          </rPr>
          <t xml:space="preserve">The smart phone market will continue to grow at a 6% compounded rate for the next 10 years, with growth tapering down towards the growth rate of the economy in the long term. </t>
        </r>
      </text>
    </comment>
    <comment ref="E11" authorId="0">
      <text>
        <r>
          <rPr>
            <sz val="9"/>
            <color indexed="81"/>
            <rFont val="Tahoma"/>
            <family val="2"/>
          </rPr>
          <t>Apple will be able to maintain its current after-tax operating margin of 21% on future iPhone sales.</t>
        </r>
      </text>
    </comment>
    <comment ref="F11" authorId="0">
      <text>
        <r>
          <rPr>
            <sz val="9"/>
            <color indexed="81"/>
            <rFont val="Tahoma"/>
            <family val="2"/>
          </rPr>
          <t>Given the iPhone's profitability and dominance in the growing smartphone market, lets try to value the iPhone franchise, incorporating the effect of the short life cycle.
The life cycle for a new iPhone will continue to be two years and Apple will have to reinvest half its after-tax operating income in the second year of each cycle (this 50% also incorporate the lost sales in the second year, as each iPhone ages and customers wait for the next version).</t>
        </r>
      </text>
    </comment>
    <comment ref="G11" authorId="0">
      <text>
        <r>
          <rPr>
            <sz val="9"/>
            <color indexed="81"/>
            <rFont val="Tahoma"/>
            <family val="2"/>
          </rPr>
          <t xml:space="preserve">iPhone customers are assumed to be loyal, with only 5% switching to competitors' products at the end of each life cycle. </t>
        </r>
      </text>
    </comment>
    <comment ref="H11" authorId="0">
      <text>
        <r>
          <rPr>
            <sz val="9"/>
            <color indexed="81"/>
            <rFont val="Tahoma"/>
            <family val="2"/>
          </rPr>
          <t xml:space="preserve">Apple will be more successful at attracting competitors' customers, with 10% switching into iPhones. </t>
        </r>
      </text>
    </comment>
    <comment ref="J11" authorId="0">
      <text>
        <r>
          <rPr>
            <sz val="9"/>
            <color indexed="81"/>
            <rFont val="Tahoma"/>
            <family val="2"/>
          </rPr>
          <t>Needless to say, there is substantial risk in this process and the cost of capital of 11% (at the 90th percentile for US companies) reflects that risk.</t>
        </r>
      </text>
    </comment>
    <comment ref="C12" authorId="0">
      <text>
        <r>
          <rPr>
            <sz val="9"/>
            <color indexed="81"/>
            <rFont val="Tahoma"/>
            <family val="2"/>
          </rPr>
          <t xml:space="preserve">The smart phone market will continue to grow at a 6% compounded rate for the next 10 years, with growth tapering down towards the growth rate of the economy in the long term. </t>
        </r>
      </text>
    </comment>
    <comment ref="E12" authorId="0">
      <text>
        <r>
          <rPr>
            <sz val="9"/>
            <color indexed="81"/>
            <rFont val="Tahoma"/>
            <family val="2"/>
          </rPr>
          <t>Apple will be able to maintain its current after-tax operating margin of 21% on future iPhone sales.</t>
        </r>
      </text>
    </comment>
    <comment ref="F12" authorId="0">
      <text>
        <r>
          <rPr>
            <sz val="9"/>
            <color indexed="81"/>
            <rFont val="Tahoma"/>
            <family val="2"/>
          </rPr>
          <t>Given the iPhone's profitability and dominance in the growing smartphone market, lets try to value the iPhone franchise, incorporating the effect of the short life cycle.
The life cycle for a new iPhone will continue to be two years and Apple will have to reinvest half its after-tax operating income in the second year of each cycle (this 50% also incorporate the lost sales in the second year, as each iPhone ages and customers wait for the next version).</t>
        </r>
      </text>
    </comment>
    <comment ref="G12" authorId="0">
      <text>
        <r>
          <rPr>
            <sz val="9"/>
            <color indexed="81"/>
            <rFont val="Tahoma"/>
            <family val="2"/>
          </rPr>
          <t xml:space="preserve">iPhone customers are assumed to be loyal, with only 5% switching to competitors' products at the end of each life cycle. </t>
        </r>
      </text>
    </comment>
    <comment ref="H12" authorId="0">
      <text>
        <r>
          <rPr>
            <sz val="9"/>
            <color indexed="81"/>
            <rFont val="Tahoma"/>
            <family val="2"/>
          </rPr>
          <t xml:space="preserve">Apple will be more successful at attracting competitors' customers, with 10% switching into iPhones. </t>
        </r>
      </text>
    </comment>
    <comment ref="J12" authorId="0">
      <text>
        <r>
          <rPr>
            <sz val="9"/>
            <color indexed="81"/>
            <rFont val="Tahoma"/>
            <family val="2"/>
          </rPr>
          <t>Needless to say, there is substantial risk in this process and the cost of capital of 11% (at the 90th percentile for US companies) reflects that risk.</t>
        </r>
      </text>
    </comment>
    <comment ref="C13" authorId="0">
      <text>
        <r>
          <rPr>
            <sz val="9"/>
            <color indexed="81"/>
            <rFont val="Tahoma"/>
            <family val="2"/>
          </rPr>
          <t xml:space="preserve">The smart phone market will continue to grow at a 6% compounded rate for the next 10 years, with growth tapering down towards the growth rate of the economy in the long term. </t>
        </r>
      </text>
    </comment>
    <comment ref="E13" authorId="0">
      <text>
        <r>
          <rPr>
            <sz val="9"/>
            <color indexed="81"/>
            <rFont val="Tahoma"/>
            <family val="2"/>
          </rPr>
          <t>Apple will be able to maintain its current after-tax operating margin of 21% on future iPhone sales.</t>
        </r>
      </text>
    </comment>
    <comment ref="F13" authorId="0">
      <text>
        <r>
          <rPr>
            <sz val="9"/>
            <color indexed="81"/>
            <rFont val="Tahoma"/>
            <family val="2"/>
          </rPr>
          <t>Given the iPhone's profitability and dominance in the growing smartphone market, lets try to value the iPhone franchise, incorporating the effect of the short life cycle.
The life cycle for a new iPhone will continue to be two years and Apple will have to reinvest half its after-tax operating income in the second year of each cycle (this 50% also incorporate the lost sales in the second year, as each iPhone ages and customers wait for the next version).</t>
        </r>
      </text>
    </comment>
    <comment ref="G13" authorId="0">
      <text>
        <r>
          <rPr>
            <sz val="9"/>
            <color indexed="81"/>
            <rFont val="Tahoma"/>
            <family val="2"/>
          </rPr>
          <t xml:space="preserve">iPhone customers are assumed to be loyal, with only 5% switching to competitors' products at the end of each life cycle. </t>
        </r>
      </text>
    </comment>
    <comment ref="H13" authorId="0">
      <text>
        <r>
          <rPr>
            <sz val="9"/>
            <color indexed="81"/>
            <rFont val="Tahoma"/>
            <family val="2"/>
          </rPr>
          <t xml:space="preserve">Apple will be more successful at attracting competitors' customers, with 10% switching into iPhones. </t>
        </r>
      </text>
    </comment>
    <comment ref="J13" authorId="0">
      <text>
        <r>
          <rPr>
            <sz val="9"/>
            <color indexed="81"/>
            <rFont val="Tahoma"/>
            <family val="2"/>
          </rPr>
          <t>Needless to say, there is substantial risk in this process and the cost of capital of 11% (at the 90th percentile for US companies) reflects that risk.</t>
        </r>
      </text>
    </comment>
    <comment ref="C14" authorId="0">
      <text>
        <r>
          <rPr>
            <sz val="9"/>
            <color indexed="81"/>
            <rFont val="Tahoma"/>
            <family val="2"/>
          </rPr>
          <t xml:space="preserve">The smart phone market will continue to grow at a 6% compounded rate for the next 10 years, with growth tapering down towards the growth rate of the economy in the long term. </t>
        </r>
      </text>
    </comment>
    <comment ref="E14" authorId="0">
      <text>
        <r>
          <rPr>
            <sz val="9"/>
            <color indexed="81"/>
            <rFont val="Tahoma"/>
            <family val="2"/>
          </rPr>
          <t>Apple will be able to maintain its current after-tax operating margin of 21% on future iPhone sales.</t>
        </r>
      </text>
    </comment>
    <comment ref="F14" authorId="0">
      <text>
        <r>
          <rPr>
            <sz val="9"/>
            <color indexed="81"/>
            <rFont val="Tahoma"/>
            <family val="2"/>
          </rPr>
          <t>Given the iPhone's profitability and dominance in the growing smartphone market, lets try to value the iPhone franchise, incorporating the effect of the short life cycle.
The life cycle for a new iPhone will continue to be two years and Apple will have to reinvest half its after-tax operating income in the second year of each cycle (this 50% also incorporate the lost sales in the second year, as each iPhone ages and customers wait for the next version).</t>
        </r>
      </text>
    </comment>
    <comment ref="G14" authorId="0">
      <text>
        <r>
          <rPr>
            <sz val="9"/>
            <color indexed="81"/>
            <rFont val="Tahoma"/>
            <family val="2"/>
          </rPr>
          <t xml:space="preserve">iPhone customers are assumed to be loyal, with only 5% switching to competitors' products at the end of each life cycle. </t>
        </r>
      </text>
    </comment>
    <comment ref="H14" authorId="0">
      <text>
        <r>
          <rPr>
            <sz val="9"/>
            <color indexed="81"/>
            <rFont val="Tahoma"/>
            <family val="2"/>
          </rPr>
          <t xml:space="preserve">Apple will be more successful at attracting competitors' customers, with 10% switching into iPhones. </t>
        </r>
      </text>
    </comment>
    <comment ref="J14" authorId="0">
      <text>
        <r>
          <rPr>
            <sz val="9"/>
            <color indexed="81"/>
            <rFont val="Tahoma"/>
            <family val="2"/>
          </rPr>
          <t>Needless to say, there is substantial risk in this process and the cost of capital of 11% (at the 90th percentile for US companies) reflects that risk.</t>
        </r>
      </text>
    </comment>
    <comment ref="C15" authorId="0">
      <text>
        <r>
          <rPr>
            <sz val="9"/>
            <color indexed="81"/>
            <rFont val="Tahoma"/>
            <family val="2"/>
          </rPr>
          <t xml:space="preserve">The smart phone market will continue to grow at a 6% compounded rate for the next 10 years, with growth tapering down towards the growth rate of the economy in the long term. </t>
        </r>
      </text>
    </comment>
    <comment ref="E15" authorId="0">
      <text>
        <r>
          <rPr>
            <sz val="9"/>
            <color indexed="81"/>
            <rFont val="Tahoma"/>
            <family val="2"/>
          </rPr>
          <t>Apple will be able to maintain its current after-tax operating margin of 21% on future iPhone sales.</t>
        </r>
      </text>
    </comment>
    <comment ref="F15" authorId="0">
      <text>
        <r>
          <rPr>
            <sz val="9"/>
            <color indexed="81"/>
            <rFont val="Tahoma"/>
            <family val="2"/>
          </rPr>
          <t>Given the iPhone's profitability and dominance in the growing smartphone market, lets try to value the iPhone franchise, incorporating the effect of the short life cycle.
The life cycle for a new iPhone will continue to be two years and Apple will have to reinvest half its after-tax operating income in the second year of each cycle (this 50% also incorporate the lost sales in the second year, as each iPhone ages and customers wait for the next version).</t>
        </r>
      </text>
    </comment>
    <comment ref="G15" authorId="0">
      <text>
        <r>
          <rPr>
            <sz val="9"/>
            <color indexed="81"/>
            <rFont val="Tahoma"/>
            <family val="2"/>
          </rPr>
          <t xml:space="preserve">iPhone customers are assumed to be loyal, with only 5% switching to competitors' products at the end of each life cycle. </t>
        </r>
      </text>
    </comment>
    <comment ref="H15" authorId="0">
      <text>
        <r>
          <rPr>
            <sz val="9"/>
            <color indexed="81"/>
            <rFont val="Tahoma"/>
            <family val="2"/>
          </rPr>
          <t xml:space="preserve">Apple will be more successful at attracting competitors' customers, with 10% switching into iPhones. </t>
        </r>
      </text>
    </comment>
    <comment ref="J15" authorId="0">
      <text>
        <r>
          <rPr>
            <sz val="9"/>
            <color indexed="81"/>
            <rFont val="Tahoma"/>
            <family val="2"/>
          </rPr>
          <t>Needless to say, there is substantial risk in this process and the cost of capital of 11% (at the 90th percentile for US companies) reflects that risk.</t>
        </r>
      </text>
    </comment>
    <comment ref="C16" authorId="0">
      <text>
        <r>
          <rPr>
            <sz val="9"/>
            <color indexed="81"/>
            <rFont val="Tahoma"/>
            <family val="2"/>
          </rPr>
          <t xml:space="preserve">The smart phone market will continue to grow at a 6% compounded rate for the next 10 years, with growth tapering down towards the growth rate of the economy in the long term. </t>
        </r>
      </text>
    </comment>
    <comment ref="E16" authorId="0">
      <text>
        <r>
          <rPr>
            <sz val="9"/>
            <color indexed="81"/>
            <rFont val="Tahoma"/>
            <family val="2"/>
          </rPr>
          <t>Apple will be able to maintain its current after-tax operating margin of 21% on future iPhone sales.</t>
        </r>
      </text>
    </comment>
    <comment ref="F16" authorId="0">
      <text>
        <r>
          <rPr>
            <sz val="9"/>
            <color indexed="81"/>
            <rFont val="Tahoma"/>
            <family val="2"/>
          </rPr>
          <t>Given the iPhone's profitability and dominance in the growing smartphone market, lets try to value the iPhone franchise, incorporating the effect of the short life cycle.
The life cycle for a new iPhone will continue to be two years and Apple will have to reinvest half its after-tax operating income in the second year of each cycle (this 50% also incorporate the lost sales in the second year, as each iPhone ages and customers wait for the next version).</t>
        </r>
      </text>
    </comment>
    <comment ref="G16" authorId="0">
      <text>
        <r>
          <rPr>
            <sz val="9"/>
            <color indexed="81"/>
            <rFont val="Tahoma"/>
            <family val="2"/>
          </rPr>
          <t xml:space="preserve">iPhone customers are assumed to be loyal, with only 5% switching to competitors' products at the end of each life cycle. </t>
        </r>
      </text>
    </comment>
    <comment ref="H16" authorId="0">
      <text>
        <r>
          <rPr>
            <sz val="9"/>
            <color indexed="81"/>
            <rFont val="Tahoma"/>
            <family val="2"/>
          </rPr>
          <t xml:space="preserve">Apple will be more successful at attracting competitors' customers, with 10% switching into iPhones. </t>
        </r>
      </text>
    </comment>
    <comment ref="J16" authorId="0">
      <text>
        <r>
          <rPr>
            <sz val="9"/>
            <color indexed="81"/>
            <rFont val="Tahoma"/>
            <family val="2"/>
          </rPr>
          <t>Needless to say, there is substantial risk in this process and the cost of capital of 11% (at the 90th percentile for US companies) reflects that risk.</t>
        </r>
      </text>
    </comment>
    <comment ref="C17" authorId="0">
      <text>
        <r>
          <rPr>
            <sz val="9"/>
            <color indexed="81"/>
            <rFont val="Tahoma"/>
            <family val="2"/>
          </rPr>
          <t xml:space="preserve">The smart phone market will continue to grow at a 6% compounded rate for the next 10 years, with growth tapering down towards the growth rate of the economy in the long term. </t>
        </r>
      </text>
    </comment>
    <comment ref="E17" authorId="0">
      <text>
        <r>
          <rPr>
            <sz val="9"/>
            <color indexed="81"/>
            <rFont val="Tahoma"/>
            <family val="2"/>
          </rPr>
          <t>Apple will be able to maintain its current after-tax operating margin of 21% on future iPhone sales.</t>
        </r>
      </text>
    </comment>
    <comment ref="F17" authorId="0">
      <text>
        <r>
          <rPr>
            <sz val="9"/>
            <color indexed="81"/>
            <rFont val="Tahoma"/>
            <family val="2"/>
          </rPr>
          <t>Given the iPhone's profitability and dominance in the growing smartphone market, lets try to value the iPhone franchise, incorporating the effect of the short life cycle.
The life cycle for a new iPhone will continue to be two years and Apple will have to reinvest half its after-tax operating income in the second year of each cycle (this 50% also incorporate the lost sales in the second year, as each iPhone ages and customers wait for the next version).</t>
        </r>
      </text>
    </comment>
    <comment ref="G17" authorId="0">
      <text>
        <r>
          <rPr>
            <sz val="9"/>
            <color indexed="81"/>
            <rFont val="Tahoma"/>
            <family val="2"/>
          </rPr>
          <t xml:space="preserve">iPhone customers are assumed to be loyal, with only 5% switching to competitors' products at the end of each life cycle. </t>
        </r>
      </text>
    </comment>
    <comment ref="H17" authorId="0">
      <text>
        <r>
          <rPr>
            <sz val="9"/>
            <color indexed="81"/>
            <rFont val="Tahoma"/>
            <family val="2"/>
          </rPr>
          <t xml:space="preserve">Apple will be more successful at attracting competitors' customers, with 10% switching into iPhones. </t>
        </r>
      </text>
    </comment>
    <comment ref="J17" authorId="0">
      <text>
        <r>
          <rPr>
            <sz val="9"/>
            <color indexed="81"/>
            <rFont val="Tahoma"/>
            <family val="2"/>
          </rPr>
          <t>Needless to say, there is substantial risk in this process and the cost of capital of 11% (at the 90th percentile for US companies) reflects that risk.</t>
        </r>
      </text>
    </comment>
    <comment ref="C18" authorId="0">
      <text>
        <r>
          <rPr>
            <sz val="9"/>
            <color indexed="81"/>
            <rFont val="Tahoma"/>
            <family val="2"/>
          </rPr>
          <t xml:space="preserve">The smart phone market will continue to grow at a 6% compounded rate for the next 10 years, with growth tapering down towards the growth rate of the economy in the long term. </t>
        </r>
      </text>
    </comment>
    <comment ref="E18" authorId="0">
      <text>
        <r>
          <rPr>
            <sz val="9"/>
            <color indexed="81"/>
            <rFont val="Tahoma"/>
            <family val="2"/>
          </rPr>
          <t>Apple will be able to maintain its current after-tax operating margin of 21% on future iPhone sales.</t>
        </r>
      </text>
    </comment>
    <comment ref="F18" authorId="0">
      <text>
        <r>
          <rPr>
            <sz val="9"/>
            <color indexed="81"/>
            <rFont val="Tahoma"/>
            <family val="2"/>
          </rPr>
          <t>Given the iPhone's profitability and dominance in the growing smartphone market, lets try to value the iPhone franchise, incorporating the effect of the short life cycle.
The life cycle for a new iPhone will continue to be two years and Apple will have to reinvest half its after-tax operating income in the second year of each cycle (this 50% also incorporate the lost sales in the second year, as each iPhone ages and customers wait for the next version).</t>
        </r>
      </text>
    </comment>
    <comment ref="G18" authorId="0">
      <text>
        <r>
          <rPr>
            <sz val="9"/>
            <color indexed="81"/>
            <rFont val="Tahoma"/>
            <family val="2"/>
          </rPr>
          <t xml:space="preserve">iPhone customers are assumed to be loyal, with only 5% switching to competitors' products at the end of each life cycle. </t>
        </r>
      </text>
    </comment>
    <comment ref="H18" authorId="0">
      <text>
        <r>
          <rPr>
            <sz val="9"/>
            <color indexed="81"/>
            <rFont val="Tahoma"/>
            <family val="2"/>
          </rPr>
          <t xml:space="preserve">Apple will be more successful at attracting competitors' customers, with 10% switching into iPhones. </t>
        </r>
      </text>
    </comment>
    <comment ref="J18" authorId="0">
      <text>
        <r>
          <rPr>
            <sz val="9"/>
            <color indexed="81"/>
            <rFont val="Tahoma"/>
            <family val="2"/>
          </rPr>
          <t>Needless to say, there is substantial risk in this process and the cost of capital of 11% (at the 90th percentile for US companies) reflects that risk.</t>
        </r>
      </text>
    </comment>
    <comment ref="C19" authorId="0">
      <text>
        <r>
          <rPr>
            <sz val="9"/>
            <color indexed="81"/>
            <rFont val="Tahoma"/>
            <family val="2"/>
          </rPr>
          <t xml:space="preserve">The smart phone market will continue to grow at a 6% compounded rate for the next 10 years, with growth tapering down towards the growth rate of the economy in the long term. </t>
        </r>
      </text>
    </comment>
    <comment ref="E19" authorId="0">
      <text>
        <r>
          <rPr>
            <sz val="9"/>
            <color indexed="81"/>
            <rFont val="Tahoma"/>
            <family val="2"/>
          </rPr>
          <t>Apple will be able to maintain its current after-tax operating margin of 21% on future iPhone sales.</t>
        </r>
      </text>
    </comment>
    <comment ref="F19" authorId="0">
      <text>
        <r>
          <rPr>
            <sz val="9"/>
            <color indexed="81"/>
            <rFont val="Tahoma"/>
            <family val="2"/>
          </rPr>
          <t>Given the iPhone's profitability and dominance in the growing smartphone market, lets try to value the iPhone franchise, incorporating the effect of the short life cycle.
The life cycle for a new iPhone will continue to be two years and Apple will have to reinvest half its after-tax operating income in the second year of each cycle (this 50% also incorporate the lost sales in the second year, as each iPhone ages and customers wait for the next version).</t>
        </r>
      </text>
    </comment>
    <comment ref="G19" authorId="0">
      <text>
        <r>
          <rPr>
            <sz val="9"/>
            <color indexed="81"/>
            <rFont val="Tahoma"/>
            <family val="2"/>
          </rPr>
          <t xml:space="preserve">iPhone customers are assumed to be loyal, with only 5% switching to competitors' products at the end of each life cycle. </t>
        </r>
      </text>
    </comment>
    <comment ref="H19" authorId="0">
      <text>
        <r>
          <rPr>
            <sz val="9"/>
            <color indexed="81"/>
            <rFont val="Tahoma"/>
            <family val="2"/>
          </rPr>
          <t xml:space="preserve">Apple will be more successful at attracting competitors' customers, with 10% switching into iPhones. </t>
        </r>
      </text>
    </comment>
    <comment ref="J19" authorId="0">
      <text>
        <r>
          <rPr>
            <sz val="9"/>
            <color indexed="81"/>
            <rFont val="Tahoma"/>
            <family val="2"/>
          </rPr>
          <t>Needless to say, there is substantial risk in this process and the cost of capital of 11% (at the 90th percentile for US companies) reflects that risk.</t>
        </r>
      </text>
    </comment>
    <comment ref="C20" authorId="0">
      <text>
        <r>
          <rPr>
            <sz val="9"/>
            <color indexed="81"/>
            <rFont val="Tahoma"/>
            <family val="2"/>
          </rPr>
          <t xml:space="preserve">The smart phone market will continue to grow at a 6% compounded rate for the next 10 years, with growth tapering down towards the growth rate of the economy in the long term. </t>
        </r>
      </text>
    </comment>
    <comment ref="E20" authorId="0">
      <text>
        <r>
          <rPr>
            <sz val="9"/>
            <color indexed="81"/>
            <rFont val="Tahoma"/>
            <family val="2"/>
          </rPr>
          <t>Apple will be able to maintain its current after-tax operating margin of 21% on future iPhone sales.</t>
        </r>
      </text>
    </comment>
    <comment ref="F20" authorId="0">
      <text>
        <r>
          <rPr>
            <sz val="9"/>
            <color indexed="81"/>
            <rFont val="Tahoma"/>
            <family val="2"/>
          </rPr>
          <t>Given the iPhone's profitability and dominance in the growing smartphone market, lets try to value the iPhone franchise, incorporating the effect of the short life cycle.
The life cycle for a new iPhone will continue to be two years and Apple will have to reinvest half its after-tax operating income in the second year of each cycle (this 50% also incorporate the lost sales in the second year, as each iPhone ages and customers wait for the next version).</t>
        </r>
      </text>
    </comment>
    <comment ref="G20" authorId="0">
      <text>
        <r>
          <rPr>
            <sz val="9"/>
            <color indexed="81"/>
            <rFont val="Tahoma"/>
            <family val="2"/>
          </rPr>
          <t xml:space="preserve">iPhone customers are assumed to be loyal, with only 5% switching to competitors' products at the end of each life cycle. </t>
        </r>
      </text>
    </comment>
    <comment ref="H20" authorId="0">
      <text>
        <r>
          <rPr>
            <sz val="9"/>
            <color indexed="81"/>
            <rFont val="Tahoma"/>
            <family val="2"/>
          </rPr>
          <t xml:space="preserve">Apple will be more successful at attracting competitors' customers, with 10% switching into iPhones. </t>
        </r>
      </text>
    </comment>
    <comment ref="J20" authorId="0">
      <text>
        <r>
          <rPr>
            <sz val="9"/>
            <color indexed="81"/>
            <rFont val="Tahoma"/>
            <family val="2"/>
          </rPr>
          <t>Needless to say, there is substantial risk in this process and the cost of capital of 11% (at the 90th percentile for US companies) reflects that risk.</t>
        </r>
      </text>
    </comment>
    <comment ref="C21" authorId="0">
      <text>
        <r>
          <rPr>
            <sz val="9"/>
            <color indexed="81"/>
            <rFont val="Tahoma"/>
            <family val="2"/>
          </rPr>
          <t xml:space="preserve">The smart phone market will continue to grow at a 6% compounded rate for the next 10 years, with growth tapering down towards the growth rate of the economy in the long term. </t>
        </r>
      </text>
    </comment>
    <comment ref="E21" authorId="0">
      <text>
        <r>
          <rPr>
            <sz val="9"/>
            <color indexed="81"/>
            <rFont val="Tahoma"/>
            <family val="2"/>
          </rPr>
          <t>Apple will be able to maintain its current after-tax operating margin of 21% on future iPhone sales.</t>
        </r>
      </text>
    </comment>
    <comment ref="F21" authorId="0">
      <text>
        <r>
          <rPr>
            <sz val="9"/>
            <color indexed="81"/>
            <rFont val="Tahoma"/>
            <family val="2"/>
          </rPr>
          <t>Given the iPhone's profitability and dominance in the growing smartphone market, lets try to value the iPhone franchise, incorporating the effect of the short life cycle.
The life cycle for a new iPhone will continue to be two years and Apple will have to reinvest half its after-tax operating income in the second year of each cycle (this 50% also incorporate the lost sales in the second year, as each iPhone ages and customers wait for the next version).</t>
        </r>
      </text>
    </comment>
    <comment ref="G21" authorId="0">
      <text>
        <r>
          <rPr>
            <sz val="9"/>
            <color indexed="81"/>
            <rFont val="Tahoma"/>
            <family val="2"/>
          </rPr>
          <t xml:space="preserve">iPhone customers are assumed to be loyal, with only 5% switching to competitors' products at the end of each life cycle. </t>
        </r>
      </text>
    </comment>
    <comment ref="H21" authorId="0">
      <text>
        <r>
          <rPr>
            <sz val="9"/>
            <color indexed="81"/>
            <rFont val="Tahoma"/>
            <family val="2"/>
          </rPr>
          <t xml:space="preserve">Apple will be more successful at attracting competitors' customers, with 10% switching into iPhones. </t>
        </r>
      </text>
    </comment>
    <comment ref="J21" authorId="0">
      <text>
        <r>
          <rPr>
            <sz val="9"/>
            <color indexed="81"/>
            <rFont val="Tahoma"/>
            <family val="2"/>
          </rPr>
          <t>Needless to say, there is substantial risk in this process and the cost of capital of 11% (at the 90th percentile for US companies) reflects that risk.</t>
        </r>
      </text>
    </comment>
    <comment ref="C22" authorId="0">
      <text>
        <r>
          <rPr>
            <sz val="9"/>
            <color indexed="81"/>
            <rFont val="Tahoma"/>
            <family val="2"/>
          </rPr>
          <t xml:space="preserve">The smart phone market will continue to grow at a 6% compounded rate for the next 10 years, with growth tapering down towards the growth rate of the economy in the long term. </t>
        </r>
      </text>
    </comment>
    <comment ref="E22" authorId="0">
      <text>
        <r>
          <rPr>
            <sz val="9"/>
            <color indexed="81"/>
            <rFont val="Tahoma"/>
            <family val="2"/>
          </rPr>
          <t>Apple will be able to maintain its current after-tax operating margin of 21% on future iPhone sales.</t>
        </r>
      </text>
    </comment>
    <comment ref="F22" authorId="0">
      <text>
        <r>
          <rPr>
            <sz val="9"/>
            <color indexed="81"/>
            <rFont val="Tahoma"/>
            <family val="2"/>
          </rPr>
          <t>Given the iPhone's profitability and dominance in the growing smartphone market, lets try to value the iPhone franchise, incorporating the effect of the short life cycle.
The life cycle for a new iPhone will continue to be two years and Apple will have to reinvest half its after-tax operating income in the second year of each cycle (this 50% also incorporate the lost sales in the second year, as each iPhone ages and customers wait for the next version).</t>
        </r>
      </text>
    </comment>
    <comment ref="G22" authorId="0">
      <text>
        <r>
          <rPr>
            <sz val="9"/>
            <color indexed="81"/>
            <rFont val="Tahoma"/>
            <family val="2"/>
          </rPr>
          <t xml:space="preserve">iPhone customers are assumed to be loyal, with only 5% switching to competitors' products at the end of each life cycle. </t>
        </r>
      </text>
    </comment>
    <comment ref="H22" authorId="0">
      <text>
        <r>
          <rPr>
            <sz val="9"/>
            <color indexed="81"/>
            <rFont val="Tahoma"/>
            <family val="2"/>
          </rPr>
          <t xml:space="preserve">Apple will be more successful at attracting competitors' customers, with 10% switching into iPhones. </t>
        </r>
      </text>
    </comment>
    <comment ref="J22" authorId="0">
      <text>
        <r>
          <rPr>
            <sz val="9"/>
            <color indexed="81"/>
            <rFont val="Tahoma"/>
            <family val="2"/>
          </rPr>
          <t>Needless to say, there is substantial risk in this process and the cost of capital of 11% (at the 90th percentile for US companies) reflects that risk.</t>
        </r>
      </text>
    </comment>
    <comment ref="C23" authorId="0">
      <text>
        <r>
          <rPr>
            <sz val="9"/>
            <color indexed="81"/>
            <rFont val="Tahoma"/>
            <family val="2"/>
          </rPr>
          <t xml:space="preserve">The smart phone market will continue to grow at a 6% compounded rate for the next 10 years, with growth tapering down towards the growth rate of the economy in the long term. </t>
        </r>
      </text>
    </comment>
    <comment ref="E23" authorId="0">
      <text>
        <r>
          <rPr>
            <sz val="9"/>
            <color indexed="81"/>
            <rFont val="Tahoma"/>
            <family val="2"/>
          </rPr>
          <t>Apple will be able to maintain its current after-tax operating margin of 21% on future iPhone sales.</t>
        </r>
      </text>
    </comment>
    <comment ref="F23" authorId="0">
      <text>
        <r>
          <rPr>
            <sz val="9"/>
            <color indexed="81"/>
            <rFont val="Tahoma"/>
            <family val="2"/>
          </rPr>
          <t>Given the iPhone's profitability and dominance in the growing smartphone market, lets try to value the iPhone franchise, incorporating the effect of the short life cycle.
The life cycle for a new iPhone will continue to be two years and Apple will have to reinvest half its after-tax operating income in the second year of each cycle (this 50% also incorporate the lost sales in the second year, as each iPhone ages and customers wait for the next version).</t>
        </r>
      </text>
    </comment>
    <comment ref="G23" authorId="0">
      <text>
        <r>
          <rPr>
            <sz val="9"/>
            <color indexed="81"/>
            <rFont val="Tahoma"/>
            <family val="2"/>
          </rPr>
          <t xml:space="preserve">iPhone customers are assumed to be loyal, with only 5% switching to competitors' products at the end of each life cycle. </t>
        </r>
      </text>
    </comment>
    <comment ref="H23" authorId="0">
      <text>
        <r>
          <rPr>
            <sz val="9"/>
            <color indexed="81"/>
            <rFont val="Tahoma"/>
            <family val="2"/>
          </rPr>
          <t xml:space="preserve">Apple will be more successful at attracting competitors' customers, with 10% switching into iPhones. </t>
        </r>
      </text>
    </comment>
    <comment ref="J23" authorId="0">
      <text>
        <r>
          <rPr>
            <sz val="9"/>
            <color indexed="81"/>
            <rFont val="Tahoma"/>
            <family val="2"/>
          </rPr>
          <t>Needless to say, there is substantial risk in this process and the cost of capital of 11% (at the 90th percentile for US companies) reflects that risk.</t>
        </r>
      </text>
    </comment>
    <comment ref="C24" authorId="0">
      <text>
        <r>
          <rPr>
            <sz val="9"/>
            <color indexed="81"/>
            <rFont val="Tahoma"/>
            <family val="2"/>
          </rPr>
          <t xml:space="preserve">The smart phone market will continue to grow at a 6% compounded rate for the next 10 years, with growth tapering down towards the growth rate of the economy in the long term. </t>
        </r>
      </text>
    </comment>
    <comment ref="E24" authorId="0">
      <text>
        <r>
          <rPr>
            <sz val="9"/>
            <color indexed="81"/>
            <rFont val="Tahoma"/>
            <family val="2"/>
          </rPr>
          <t>Apple will be able to maintain its current after-tax operating margin of 21% on future iPhone sales.</t>
        </r>
      </text>
    </comment>
    <comment ref="F24" authorId="0">
      <text>
        <r>
          <rPr>
            <sz val="9"/>
            <color indexed="81"/>
            <rFont val="Tahoma"/>
            <family val="2"/>
          </rPr>
          <t>Given the iPhone's profitability and dominance in the growing smartphone market, lets try to value the iPhone franchise, incorporating the effect of the short life cycle.
The life cycle for a new iPhone will continue to be two years and Apple will have to reinvest half its after-tax operating income in the second year of each cycle (this 50% also incorporate the lost sales in the second year, as each iPhone ages and customers wait for the next version).</t>
        </r>
      </text>
    </comment>
    <comment ref="G24" authorId="0">
      <text>
        <r>
          <rPr>
            <sz val="9"/>
            <color indexed="81"/>
            <rFont val="Tahoma"/>
            <family val="2"/>
          </rPr>
          <t xml:space="preserve">iPhone customers are assumed to be loyal, with only 5% switching to competitors' products at the end of each life cycle. </t>
        </r>
      </text>
    </comment>
    <comment ref="H24" authorId="0">
      <text>
        <r>
          <rPr>
            <sz val="9"/>
            <color indexed="81"/>
            <rFont val="Tahoma"/>
            <family val="2"/>
          </rPr>
          <t xml:space="preserve">Apple will be more successful at attracting competitors' customers, with 10% switching into iPhones. </t>
        </r>
      </text>
    </comment>
    <comment ref="J24" authorId="0">
      <text>
        <r>
          <rPr>
            <sz val="9"/>
            <color indexed="81"/>
            <rFont val="Tahoma"/>
            <family val="2"/>
          </rPr>
          <t>Needless to say, there is substantial risk in this process and the cost of capital of 11% (at the 90th percentile for US companies) reflects that risk.</t>
        </r>
      </text>
    </comment>
    <comment ref="C25" authorId="0">
      <text>
        <r>
          <rPr>
            <sz val="9"/>
            <color indexed="81"/>
            <rFont val="Tahoma"/>
            <family val="2"/>
          </rPr>
          <t xml:space="preserve">The smart phone market will continue to grow at a 6% compounded rate for the next 10 years, with growth tapering down towards the growth rate of the economy in the long term. </t>
        </r>
      </text>
    </comment>
    <comment ref="E25" authorId="0">
      <text>
        <r>
          <rPr>
            <sz val="9"/>
            <color indexed="81"/>
            <rFont val="Tahoma"/>
            <family val="2"/>
          </rPr>
          <t>Apple will be able to maintain its current after-tax operating margin of 21% on future iPhone sales.</t>
        </r>
      </text>
    </comment>
    <comment ref="F25" authorId="0">
      <text>
        <r>
          <rPr>
            <sz val="9"/>
            <color indexed="81"/>
            <rFont val="Tahoma"/>
            <family val="2"/>
          </rPr>
          <t>Given the iPhone's profitability and dominance in the growing smartphone market, lets try to value the iPhone franchise, incorporating the effect of the short life cycle.
The life cycle for a new iPhone will continue to be two years and Apple will have to reinvest half its after-tax operating income in the second year of each cycle (this 50% also incorporate the lost sales in the second year, as each iPhone ages and customers wait for the next version).</t>
        </r>
      </text>
    </comment>
    <comment ref="G25" authorId="0">
      <text>
        <r>
          <rPr>
            <sz val="9"/>
            <color indexed="81"/>
            <rFont val="Tahoma"/>
            <family val="2"/>
          </rPr>
          <t xml:space="preserve">iPhone customers are assumed to be loyal, with only 5% switching to competitors' products at the end of each life cycle. </t>
        </r>
      </text>
    </comment>
    <comment ref="H25" authorId="0">
      <text>
        <r>
          <rPr>
            <sz val="9"/>
            <color indexed="81"/>
            <rFont val="Tahoma"/>
            <family val="2"/>
          </rPr>
          <t xml:space="preserve">Apple will be more successful at attracting competitors' customers, with 10% switching into iPhones. </t>
        </r>
      </text>
    </comment>
    <comment ref="J25" authorId="0">
      <text>
        <r>
          <rPr>
            <sz val="9"/>
            <color indexed="81"/>
            <rFont val="Tahoma"/>
            <family val="2"/>
          </rPr>
          <t>Needless to say, there is substantial risk in this process and the cost of capital of 11% (at the 90th percentile for US companies) reflects that risk.</t>
        </r>
      </text>
    </comment>
  </commentList>
</comments>
</file>

<file path=xl/sharedStrings.xml><?xml version="1.0" encoding="utf-8"?>
<sst xmlns="http://schemas.openxmlformats.org/spreadsheetml/2006/main" count="100" uniqueCount="40">
  <si>
    <t>Year</t>
  </si>
  <si>
    <t>Cycle end</t>
  </si>
  <si>
    <t>Expected growth rate</t>
  </si>
  <si>
    <t>Total Market</t>
  </si>
  <si>
    <t>Product Revenues</t>
  </si>
  <si>
    <t>Competitor revenues</t>
  </si>
  <si>
    <t>Market share</t>
  </si>
  <si>
    <t>Product: Total Revenues</t>
  </si>
  <si>
    <t>Product: After-tax Operating Income</t>
  </si>
  <si>
    <t>PV</t>
  </si>
  <si>
    <t>Total market (in $)</t>
  </si>
  <si>
    <t>Total Value</t>
  </si>
  <si>
    <t>Annual growth rate in market (next ten years)</t>
  </si>
  <si>
    <t>Market share (in % of $ market)</t>
  </si>
  <si>
    <t>Current after-tax Operating Margin (in %)</t>
  </si>
  <si>
    <t>Product life cycle</t>
  </si>
  <si>
    <t>% of own customers lost to competitors</t>
  </si>
  <si>
    <t>% of competitors' customers gained</t>
  </si>
  <si>
    <t>Cost of innovation (as percent of after-tax income in end-of-cycle year)</t>
  </si>
  <si>
    <t>Cost of capital</t>
  </si>
  <si>
    <t>Riskfree rate</t>
  </si>
  <si>
    <t>Value (Output)</t>
  </si>
  <si>
    <t>Base year revenues</t>
  </si>
  <si>
    <t>Base year after-tax operating income</t>
  </si>
  <si>
    <t>Value of iPhone Franchise</t>
  </si>
  <si>
    <t>EV/Sales</t>
  </si>
  <si>
    <t>EV/After-tax Operating Income</t>
  </si>
  <si>
    <t xml:space="preserve"> </t>
  </si>
  <si>
    <t>Life cycle (Assumptions)</t>
  </si>
  <si>
    <t>For Scenario 1 calcs on range: T7:AC46</t>
  </si>
  <si>
    <t>For Scenario 2 calcs on range: AE7:AN46</t>
  </si>
  <si>
    <t>Revenues in year t</t>
  </si>
  <si>
    <t>Market share in year t</t>
  </si>
  <si>
    <t>Percent of own customers lost to competitors</t>
  </si>
  <si>
    <t>Pertcent of competitors customers gained</t>
  </si>
  <si>
    <t>INP</t>
  </si>
  <si>
    <t>OUT</t>
  </si>
  <si>
    <t xml:space="preserve">  </t>
  </si>
  <si>
    <t>Years</t>
  </si>
  <si>
    <t>INPUTS</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</si>
</sst>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quot;$&quot;#,##0.00"/>
  </numFmts>
  <fonts count="15" x14ac:knownFonts="1">
    <font>
      <sz val="12"/>
      <color theme="1"/>
      <name val="Calibri"/>
      <family val="2"/>
      <scheme val="minor"/>
    </font>
    <font>
      <sz val="12"/>
      <color theme="1"/>
      <name val="Calibri"/>
      <family val="2"/>
      <scheme val="minor"/>
    </font>
    <font>
      <sz val="12"/>
      <color theme="1"/>
      <name val="Times New Roman"/>
      <family val="1"/>
    </font>
    <font>
      <b/>
      <sz val="12"/>
      <color theme="1"/>
      <name val="Calibri"/>
      <family val="2"/>
      <scheme val="minor"/>
    </font>
    <font>
      <b/>
      <sz val="12"/>
      <color theme="1"/>
      <name val="Times New Roman"/>
      <family val="1"/>
    </font>
    <font>
      <sz val="12"/>
      <color theme="4"/>
      <name val="Times New Roman"/>
      <family val="1"/>
    </font>
    <font>
      <i/>
      <sz val="12"/>
      <color theme="1"/>
      <name val="Calibri"/>
      <family val="2"/>
      <scheme val="minor"/>
    </font>
    <font>
      <sz val="12"/>
      <color rgb="FFFF0000"/>
      <name val="Times New Roman"/>
      <family val="1"/>
    </font>
    <font>
      <sz val="9"/>
      <color indexed="81"/>
      <name val="Tahoma"/>
      <family val="2"/>
    </font>
    <font>
      <b/>
      <sz val="9"/>
      <color indexed="81"/>
      <name val="Tahoma"/>
      <family val="2"/>
    </font>
    <font>
      <sz val="12"/>
      <color theme="0"/>
      <name val="Times New Roman"/>
      <family val="1"/>
    </font>
    <font>
      <u/>
      <sz val="12"/>
      <color theme="10"/>
      <name val="Calibri"/>
      <family val="2"/>
      <scheme val="minor"/>
    </font>
    <font>
      <u/>
      <sz val="12"/>
      <color theme="11"/>
      <name val="Calibri"/>
      <family val="2"/>
      <scheme val="minor"/>
    </font>
    <font>
      <sz val="9"/>
      <color indexed="81"/>
      <name val="Calibri"/>
      <family val="2"/>
    </font>
    <font>
      <b/>
      <sz val="9"/>
      <color indexed="81"/>
      <name val="Calibri"/>
      <family val="2"/>
    </font>
  </fonts>
  <fills count="6">
    <fill>
      <patternFill patternType="none"/>
    </fill>
    <fill>
      <patternFill patternType="gray125"/>
    </fill>
    <fill>
      <patternFill patternType="solid">
        <fgColor theme="0" tint="-4.9989318521683403E-2"/>
        <bgColor indexed="64"/>
      </patternFill>
    </fill>
    <fill>
      <patternFill patternType="solid">
        <fgColor theme="1"/>
        <bgColor indexed="64"/>
      </patternFill>
    </fill>
    <fill>
      <patternFill patternType="solid">
        <fgColor rgb="FFFFFF00"/>
        <bgColor indexed="64"/>
      </patternFill>
    </fill>
    <fill>
      <patternFill patternType="solid">
        <fgColor theme="9" tint="0.59999389629810485"/>
        <bgColor indexed="64"/>
      </patternFill>
    </fill>
  </fills>
  <borders count="5">
    <border>
      <left/>
      <right/>
      <top/>
      <bottom/>
      <diagonal/>
    </border>
    <border>
      <left style="hair">
        <color auto="1"/>
      </left>
      <right style="hair">
        <color auto="1"/>
      </right>
      <top style="hair">
        <color auto="1"/>
      </top>
      <bottom style="hair">
        <color auto="1"/>
      </bottom>
      <diagonal/>
    </border>
    <border>
      <left style="hair">
        <color auto="1"/>
      </left>
      <right/>
      <top style="hair">
        <color auto="1"/>
      </top>
      <bottom style="hair">
        <color auto="1"/>
      </bottom>
      <diagonal/>
    </border>
    <border>
      <left/>
      <right/>
      <top style="hair">
        <color auto="1"/>
      </top>
      <bottom style="hair">
        <color auto="1"/>
      </bottom>
      <diagonal/>
    </border>
    <border>
      <left/>
      <right style="hair">
        <color auto="1"/>
      </right>
      <top style="hair">
        <color auto="1"/>
      </top>
      <bottom style="hair">
        <color auto="1"/>
      </bottom>
      <diagonal/>
    </border>
  </borders>
  <cellStyleXfs count="58">
    <xf numFmtId="0" fontId="0" fillId="0" borderId="0"/>
    <xf numFmtId="9" fontId="1" fillId="0" borderId="0" applyFon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cellStyleXfs>
  <cellXfs count="33">
    <xf numFmtId="0" fontId="0" fillId="0" borderId="0" xfId="0"/>
    <xf numFmtId="0" fontId="2" fillId="0" borderId="0" xfId="0" applyFont="1" applyFill="1" applyBorder="1" applyAlignment="1">
      <alignment vertical="center"/>
    </xf>
    <xf numFmtId="0" fontId="0" fillId="0" borderId="0" xfId="0" applyBorder="1" applyAlignment="1">
      <alignment horizontal="center" vertical="center"/>
    </xf>
    <xf numFmtId="164" fontId="0" fillId="0" borderId="0" xfId="0" applyNumberFormat="1" applyBorder="1" applyAlignment="1">
      <alignment horizontal="center" vertical="center"/>
    </xf>
    <xf numFmtId="10" fontId="0" fillId="0" borderId="0" xfId="1" applyNumberFormat="1" applyFont="1" applyBorder="1" applyAlignment="1">
      <alignment horizontal="center" vertical="center"/>
    </xf>
    <xf numFmtId="164" fontId="5" fillId="0" borderId="0" xfId="0" applyNumberFormat="1" applyFont="1" applyFill="1" applyBorder="1" applyAlignment="1">
      <alignment vertical="center"/>
    </xf>
    <xf numFmtId="9" fontId="5" fillId="0" borderId="0" xfId="0" applyNumberFormat="1" applyFont="1" applyFill="1" applyBorder="1" applyAlignment="1">
      <alignment vertical="center"/>
    </xf>
    <xf numFmtId="0" fontId="0" fillId="0" borderId="0" xfId="0" applyFill="1" applyBorder="1" applyAlignment="1">
      <alignment horizontal="center" vertical="center"/>
    </xf>
    <xf numFmtId="10" fontId="0" fillId="0" borderId="0" xfId="0" applyNumberFormat="1" applyBorder="1" applyAlignment="1">
      <alignment horizontal="center" vertical="center"/>
    </xf>
    <xf numFmtId="164" fontId="0" fillId="0" borderId="0" xfId="0" applyNumberFormat="1" applyBorder="1" applyAlignment="1">
      <alignment horizontal="right" vertical="center"/>
    </xf>
    <xf numFmtId="10" fontId="0" fillId="0" borderId="0" xfId="1" applyNumberFormat="1" applyFont="1" applyBorder="1" applyAlignment="1">
      <alignment horizontal="right" vertical="center"/>
    </xf>
    <xf numFmtId="0" fontId="7" fillId="0" borderId="0" xfId="0" applyFont="1" applyFill="1" applyBorder="1" applyAlignment="1">
      <alignment horizontal="center" vertical="center"/>
    </xf>
    <xf numFmtId="164" fontId="2" fillId="0" borderId="0" xfId="0" applyNumberFormat="1" applyFont="1" applyFill="1" applyBorder="1" applyAlignment="1">
      <alignment vertical="center"/>
    </xf>
    <xf numFmtId="2" fontId="2" fillId="0" borderId="0" xfId="0" applyNumberFormat="1" applyFont="1" applyFill="1" applyBorder="1" applyAlignment="1">
      <alignment vertical="center"/>
    </xf>
    <xf numFmtId="0" fontId="10" fillId="3" borderId="1" xfId="0" applyFont="1" applyFill="1" applyBorder="1" applyAlignment="1">
      <alignment horizontal="center" vertical="center" wrapText="1"/>
    </xf>
    <xf numFmtId="0" fontId="4" fillId="2" borderId="2" xfId="0" applyFont="1" applyFill="1" applyBorder="1" applyAlignment="1">
      <alignment horizontal="centerContinuous" vertical="center"/>
    </xf>
    <xf numFmtId="0" fontId="2" fillId="2" borderId="3" xfId="0" applyFont="1" applyFill="1" applyBorder="1" applyAlignment="1">
      <alignment horizontal="centerContinuous" vertical="center"/>
    </xf>
    <xf numFmtId="0" fontId="2" fillId="2" borderId="4" xfId="0" applyFont="1" applyFill="1" applyBorder="1" applyAlignment="1">
      <alignment horizontal="centerContinuous" vertical="center"/>
    </xf>
    <xf numFmtId="0" fontId="3" fillId="2" borderId="1" xfId="0" applyFont="1" applyFill="1" applyBorder="1" applyAlignment="1">
      <alignment horizontal="center" vertical="center" wrapText="1"/>
    </xf>
    <xf numFmtId="164" fontId="3" fillId="2" borderId="1" xfId="0" applyNumberFormat="1" applyFont="1" applyFill="1" applyBorder="1" applyAlignment="1">
      <alignment horizontal="center" vertical="center" wrapText="1"/>
    </xf>
    <xf numFmtId="10" fontId="3" fillId="2" borderId="1" xfId="1" applyNumberFormat="1" applyFont="1" applyFill="1" applyBorder="1" applyAlignment="1">
      <alignment horizontal="center" vertical="center" wrapText="1"/>
    </xf>
    <xf numFmtId="0" fontId="6" fillId="0" borderId="3" xfId="0" applyFont="1" applyBorder="1" applyAlignment="1">
      <alignment horizontal="left" vertical="center" indent="1"/>
    </xf>
    <xf numFmtId="0" fontId="0" fillId="0" borderId="3" xfId="0" applyBorder="1" applyAlignment="1">
      <alignment vertical="center"/>
    </xf>
    <xf numFmtId="0" fontId="0" fillId="0" borderId="3" xfId="0" applyBorder="1" applyAlignment="1">
      <alignment horizontal="center" vertical="center"/>
    </xf>
    <xf numFmtId="164" fontId="0" fillId="0" borderId="3" xfId="0" applyNumberFormat="1" applyBorder="1" applyAlignment="1">
      <alignment horizontal="center" vertical="center"/>
    </xf>
    <xf numFmtId="10" fontId="0" fillId="0" borderId="3" xfId="1" applyNumberFormat="1" applyFont="1" applyBorder="1" applyAlignment="1">
      <alignment horizontal="center" vertical="center"/>
    </xf>
    <xf numFmtId="164" fontId="0" fillId="0" borderId="3" xfId="0" applyNumberFormat="1" applyBorder="1" applyAlignment="1">
      <alignment horizontal="right" vertical="center"/>
    </xf>
    <xf numFmtId="0" fontId="2" fillId="0" borderId="0" xfId="0" quotePrefix="1" applyFont="1" applyFill="1" applyBorder="1" applyAlignment="1">
      <alignment vertical="center"/>
    </xf>
    <xf numFmtId="0" fontId="0" fillId="4" borderId="0" xfId="0" applyFill="1"/>
    <xf numFmtId="10" fontId="2" fillId="0" borderId="0" xfId="1" applyNumberFormat="1" applyFont="1" applyFill="1" applyBorder="1" applyAlignment="1">
      <alignment vertical="center"/>
    </xf>
    <xf numFmtId="0" fontId="0" fillId="0" borderId="0" xfId="0" applyFill="1"/>
    <xf numFmtId="0" fontId="0" fillId="5" borderId="0" xfId="0" applyFill="1"/>
    <xf numFmtId="0" fontId="3" fillId="0" borderId="0" xfId="0" applyFont="1"/>
  </cellXfs>
  <cellStyles count="58">
    <cellStyle name="Followed Hyperlink" xfId="3" builtinId="9" hidden="1"/>
    <cellStyle name="Followed Hyperlink" xfId="5" builtinId="9" hidden="1"/>
    <cellStyle name="Followed Hyperlink" xfId="7" builtinId="9" hidden="1"/>
    <cellStyle name="Followed Hyperlink" xfId="9" builtinId="9" hidden="1"/>
    <cellStyle name="Followed Hyperlink" xfId="11" builtinId="9" hidden="1"/>
    <cellStyle name="Followed Hyperlink" xfId="13" builtinId="9" hidden="1"/>
    <cellStyle name="Followed Hyperlink" xfId="15" builtinId="9" hidden="1"/>
    <cellStyle name="Followed Hyperlink" xfId="17" builtinId="9" hidden="1"/>
    <cellStyle name="Followed Hyperlink" xfId="19" builtinId="9" hidden="1"/>
    <cellStyle name="Followed Hyperlink" xfId="21" builtinId="9" hidden="1"/>
    <cellStyle name="Followed Hyperlink" xfId="23" builtinId="9" hidden="1"/>
    <cellStyle name="Followed Hyperlink" xfId="25" builtinId="9" hidden="1"/>
    <cellStyle name="Followed Hyperlink" xfId="27" builtinId="9" hidden="1"/>
    <cellStyle name="Followed Hyperlink" xfId="29" builtinId="9" hidden="1"/>
    <cellStyle name="Followed Hyperlink" xfId="31" builtinId="9" hidden="1"/>
    <cellStyle name="Followed Hyperlink" xfId="33" builtinId="9" hidden="1"/>
    <cellStyle name="Followed Hyperlink" xfId="35" builtinId="9" hidden="1"/>
    <cellStyle name="Followed Hyperlink" xfId="37" builtinId="9" hidden="1"/>
    <cellStyle name="Followed Hyperlink" xfId="39" builtinId="9" hidden="1"/>
    <cellStyle name="Followed Hyperlink" xfId="41" builtinId="9" hidden="1"/>
    <cellStyle name="Followed Hyperlink" xfId="43" builtinId="9" hidden="1"/>
    <cellStyle name="Followed Hyperlink" xfId="45" builtinId="9" hidden="1"/>
    <cellStyle name="Followed Hyperlink" xfId="47" builtinId="9" hidden="1"/>
    <cellStyle name="Followed Hyperlink" xfId="49" builtinId="9" hidden="1"/>
    <cellStyle name="Followed Hyperlink" xfId="51" builtinId="9" hidden="1"/>
    <cellStyle name="Followed Hyperlink" xfId="53" builtinId="9" hidden="1"/>
    <cellStyle name="Followed Hyperlink" xfId="55" builtinId="9" hidden="1"/>
    <cellStyle name="Followed Hyperlink" xfId="57" builtinId="9" hidden="1"/>
    <cellStyle name="Hyperlink" xfId="2" builtinId="8" hidden="1"/>
    <cellStyle name="Hyperlink" xfId="4" builtinId="8" hidden="1"/>
    <cellStyle name="Hyperlink" xfId="6" builtinId="8" hidden="1"/>
    <cellStyle name="Hyperlink" xfId="8" builtinId="8" hidden="1"/>
    <cellStyle name="Hyperlink" xfId="10" builtinId="8" hidden="1"/>
    <cellStyle name="Hyperlink" xfId="12" builtinId="8" hidden="1"/>
    <cellStyle name="Hyperlink" xfId="14" builtinId="8" hidden="1"/>
    <cellStyle name="Hyperlink" xfId="16" builtinId="8" hidden="1"/>
    <cellStyle name="Hyperlink" xfId="18" builtinId="8" hidden="1"/>
    <cellStyle name="Hyperlink" xfId="20" builtinId="8" hidden="1"/>
    <cellStyle name="Hyperlink" xfId="22" builtinId="8" hidden="1"/>
    <cellStyle name="Hyperlink" xfId="24" builtinId="8" hidden="1"/>
    <cellStyle name="Hyperlink" xfId="26" builtinId="8" hidden="1"/>
    <cellStyle name="Hyperlink" xfId="28" builtinId="8" hidden="1"/>
    <cellStyle name="Hyperlink" xfId="30" builtinId="8" hidden="1"/>
    <cellStyle name="Hyperlink" xfId="32" builtinId="8" hidden="1"/>
    <cellStyle name="Hyperlink" xfId="34" builtinId="8" hidden="1"/>
    <cellStyle name="Hyperlink" xfId="36" builtinId="8" hidden="1"/>
    <cellStyle name="Hyperlink" xfId="38" builtinId="8" hidden="1"/>
    <cellStyle name="Hyperlink" xfId="40" builtinId="8" hidden="1"/>
    <cellStyle name="Hyperlink" xfId="42" builtinId="8" hidden="1"/>
    <cellStyle name="Hyperlink" xfId="44" builtinId="8" hidden="1"/>
    <cellStyle name="Hyperlink" xfId="46" builtinId="8" hidden="1"/>
    <cellStyle name="Hyperlink" xfId="48" builtinId="8" hidden="1"/>
    <cellStyle name="Hyperlink" xfId="50" builtinId="8" hidden="1"/>
    <cellStyle name="Hyperlink" xfId="52" builtinId="8" hidden="1"/>
    <cellStyle name="Hyperlink" xfId="54" builtinId="8" hidden="1"/>
    <cellStyle name="Hyperlink" xfId="56" builtinId="8" hidden="1"/>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2:AO46"/>
  <sheetViews>
    <sheetView showGridLines="0" tabSelected="1" workbookViewId="0"/>
  </sheetViews>
  <sheetFormatPr defaultColWidth="11" defaultRowHeight="15.75" x14ac:dyDescent="0.25"/>
  <cols>
    <col min="1" max="1" width="3.625" style="1" customWidth="1"/>
    <col min="2" max="2" width="11" style="1" customWidth="1"/>
    <col min="3" max="16384" width="11" style="1"/>
  </cols>
  <sheetData>
    <row r="2" spans="1:41" x14ac:dyDescent="0.25">
      <c r="B2" s="15" t="s">
        <v>28</v>
      </c>
      <c r="C2" s="16"/>
      <c r="D2" s="16"/>
      <c r="E2" s="16"/>
      <c r="F2" s="16"/>
      <c r="G2" s="16"/>
      <c r="H2" s="16"/>
      <c r="I2" s="16"/>
      <c r="J2" s="16"/>
      <c r="K2" s="17"/>
      <c r="L2" s="16"/>
      <c r="M2" s="15" t="s">
        <v>21</v>
      </c>
      <c r="N2" s="16"/>
      <c r="O2" s="16"/>
      <c r="P2" s="16"/>
      <c r="Q2" s="16"/>
      <c r="R2" s="16"/>
      <c r="S2" s="17"/>
    </row>
    <row r="3" spans="1:41" ht="110.25" x14ac:dyDescent="0.25">
      <c r="A3" s="1" t="s">
        <v>27</v>
      </c>
      <c r="B3" s="14" t="s">
        <v>10</v>
      </c>
      <c r="C3" s="14" t="s">
        <v>12</v>
      </c>
      <c r="D3" s="14" t="s">
        <v>13</v>
      </c>
      <c r="E3" s="14" t="s">
        <v>14</v>
      </c>
      <c r="F3" s="14" t="s">
        <v>15</v>
      </c>
      <c r="G3" s="14" t="s">
        <v>16</v>
      </c>
      <c r="H3" s="14" t="s">
        <v>17</v>
      </c>
      <c r="I3" s="14" t="s">
        <v>18</v>
      </c>
      <c r="J3" s="14" t="s">
        <v>19</v>
      </c>
      <c r="K3" s="14" t="s">
        <v>20</v>
      </c>
      <c r="L3" s="14" t="s">
        <v>38</v>
      </c>
      <c r="M3" s="14" t="s">
        <v>22</v>
      </c>
      <c r="N3" s="14" t="s">
        <v>23</v>
      </c>
      <c r="O3" s="14" t="s">
        <v>31</v>
      </c>
      <c r="P3" s="14" t="s">
        <v>32</v>
      </c>
      <c r="Q3" s="14" t="s">
        <v>24</v>
      </c>
      <c r="R3" s="14" t="s">
        <v>25</v>
      </c>
      <c r="S3" s="14" t="s">
        <v>26</v>
      </c>
      <c r="T3" s="1" t="s">
        <v>27</v>
      </c>
      <c r="U3" s="18" t="s">
        <v>0</v>
      </c>
      <c r="V3" s="18" t="s">
        <v>1</v>
      </c>
      <c r="W3" s="18" t="s">
        <v>2</v>
      </c>
      <c r="X3" s="19" t="s">
        <v>3</v>
      </c>
      <c r="Y3" s="18" t="s">
        <v>4</v>
      </c>
      <c r="Z3" s="18" t="s">
        <v>5</v>
      </c>
      <c r="AA3" s="20" t="s">
        <v>6</v>
      </c>
      <c r="AB3" s="18" t="s">
        <v>7</v>
      </c>
      <c r="AC3" s="18" t="s">
        <v>8</v>
      </c>
      <c r="AD3" s="18" t="s">
        <v>9</v>
      </c>
      <c r="AF3" s="18" t="s">
        <v>0</v>
      </c>
      <c r="AG3" s="18" t="s">
        <v>1</v>
      </c>
      <c r="AH3" s="18" t="s">
        <v>2</v>
      </c>
      <c r="AI3" s="19" t="s">
        <v>3</v>
      </c>
      <c r="AJ3" s="18" t="s">
        <v>4</v>
      </c>
      <c r="AK3" s="18" t="s">
        <v>5</v>
      </c>
      <c r="AL3" s="20" t="s">
        <v>6</v>
      </c>
      <c r="AM3" s="18" t="s">
        <v>7</v>
      </c>
      <c r="AN3" s="18" t="s">
        <v>8</v>
      </c>
      <c r="AO3" s="18" t="s">
        <v>9</v>
      </c>
    </row>
    <row r="4" spans="1:41" x14ac:dyDescent="0.25">
      <c r="B4" s="5">
        <v>210</v>
      </c>
      <c r="C4" s="6">
        <v>0.06</v>
      </c>
      <c r="D4" s="6">
        <v>0.43</v>
      </c>
      <c r="E4" s="6">
        <v>0.21</v>
      </c>
      <c r="F4" s="11">
        <v>2</v>
      </c>
      <c r="G4" s="6">
        <v>0.05</v>
      </c>
      <c r="H4" s="6">
        <v>0.1</v>
      </c>
      <c r="I4" s="6">
        <v>0.5</v>
      </c>
      <c r="J4" s="6">
        <v>0.11</v>
      </c>
      <c r="K4" s="6">
        <v>0.02</v>
      </c>
      <c r="L4" s="11">
        <v>40</v>
      </c>
      <c r="M4" s="12">
        <f>B4*D4</f>
        <v>90.3</v>
      </c>
      <c r="N4" s="12">
        <f>M4*E4</f>
        <v>18.962999999999997</v>
      </c>
      <c r="O4" s="12">
        <f ca="1">OFFSET($AB$6,$L4,0)</f>
        <v>783.32374011202887</v>
      </c>
      <c r="P4" s="29">
        <f ca="1">OFFSET($AA$6,$L4,0)</f>
        <v>0.6558747972274489</v>
      </c>
      <c r="Q4" s="12">
        <f>$AD$5</f>
        <v>305.27180667059741</v>
      </c>
      <c r="R4" s="13">
        <f>Q4/(B4*D4)</f>
        <v>3.3806401624650877</v>
      </c>
      <c r="S4" s="13">
        <f>Q4/(B4*D4*E4)</f>
        <v>16.098286487928991</v>
      </c>
      <c r="U4" s="2"/>
      <c r="V4" s="2"/>
      <c r="W4" s="2"/>
      <c r="X4" s="3"/>
      <c r="Y4" s="2"/>
      <c r="Z4" s="2"/>
      <c r="AA4" s="4"/>
      <c r="AB4" s="2"/>
      <c r="AC4" s="2"/>
      <c r="AD4" s="2"/>
      <c r="AF4" s="2"/>
      <c r="AG4" s="2"/>
      <c r="AH4" s="2"/>
      <c r="AI4" s="3"/>
      <c r="AJ4" s="2"/>
      <c r="AK4" s="2"/>
      <c r="AL4" s="4"/>
      <c r="AM4" s="2"/>
      <c r="AN4" s="2"/>
      <c r="AO4" s="2"/>
    </row>
    <row r="5" spans="1:41" x14ac:dyDescent="0.25">
      <c r="B5" s="5">
        <v>210</v>
      </c>
      <c r="C5" s="6">
        <v>0.06</v>
      </c>
      <c r="D5" s="6">
        <v>0.43</v>
      </c>
      <c r="E5" s="6">
        <v>0.21</v>
      </c>
      <c r="F5" s="11">
        <v>4</v>
      </c>
      <c r="G5" s="6">
        <v>0.05</v>
      </c>
      <c r="H5" s="6">
        <v>0.1</v>
      </c>
      <c r="I5" s="6">
        <v>0.5</v>
      </c>
      <c r="J5" s="6">
        <v>0.11</v>
      </c>
      <c r="K5" s="6">
        <v>0.02</v>
      </c>
      <c r="L5" s="11">
        <v>40</v>
      </c>
      <c r="M5" s="12">
        <f>B5*D5</f>
        <v>90.3</v>
      </c>
      <c r="N5" s="12">
        <f>M5*E5</f>
        <v>18.962999999999997</v>
      </c>
      <c r="O5" s="12">
        <f ca="1">OFFSET($AM$6,$L5,0)</f>
        <v>730.74487129284512</v>
      </c>
      <c r="P5" s="29">
        <f ca="1">OFFSET($AL$6,$L5,0)</f>
        <v>0.61185065604630862</v>
      </c>
      <c r="Q5" s="12">
        <f>$AO$5</f>
        <v>326.82202554028606</v>
      </c>
      <c r="R5" s="13">
        <f>Q5/(B5*D5)</f>
        <v>3.619291534222437</v>
      </c>
      <c r="S5" s="13">
        <f>Q5/(B5*D5*E5)</f>
        <v>17.234721591535418</v>
      </c>
      <c r="U5" s="21" t="s">
        <v>11</v>
      </c>
      <c r="V5" s="22"/>
      <c r="W5" s="23"/>
      <c r="X5" s="24"/>
      <c r="Y5" s="23"/>
      <c r="Z5" s="23"/>
      <c r="AA5" s="25"/>
      <c r="AB5" s="23"/>
      <c r="AC5" s="23"/>
      <c r="AD5" s="26">
        <f>SUM(AD7:AD46)</f>
        <v>305.27180667059741</v>
      </c>
      <c r="AF5" s="21" t="s">
        <v>11</v>
      </c>
      <c r="AG5" s="22"/>
      <c r="AH5" s="23"/>
      <c r="AI5" s="24"/>
      <c r="AJ5" s="23"/>
      <c r="AK5" s="23"/>
      <c r="AL5" s="25"/>
      <c r="AM5" s="23"/>
      <c r="AN5" s="23"/>
      <c r="AO5" s="26">
        <f>SUM(AO7:AO46)</f>
        <v>326.82202554028606</v>
      </c>
    </row>
    <row r="6" spans="1:41" x14ac:dyDescent="0.25">
      <c r="B6" s="5">
        <v>210</v>
      </c>
      <c r="C6" s="6">
        <v>0.06</v>
      </c>
      <c r="D6" s="6">
        <v>0.43</v>
      </c>
      <c r="E6" s="6">
        <v>0.21</v>
      </c>
      <c r="F6" s="11">
        <v>4</v>
      </c>
      <c r="G6" s="6">
        <v>0.05</v>
      </c>
      <c r="H6" s="6">
        <v>0.1</v>
      </c>
      <c r="I6" s="6">
        <v>0.5</v>
      </c>
      <c r="J6" s="6">
        <v>0.11</v>
      </c>
      <c r="K6" s="6">
        <v>0.02</v>
      </c>
      <c r="L6" s="11">
        <v>40</v>
      </c>
      <c r="U6" s="2"/>
      <c r="V6" s="2"/>
      <c r="W6" s="2"/>
      <c r="X6" s="3"/>
      <c r="Y6" s="2"/>
      <c r="Z6" s="2"/>
      <c r="AA6" s="4"/>
      <c r="AB6" s="2"/>
      <c r="AC6" s="2"/>
      <c r="AD6" s="2"/>
      <c r="AF6" s="2"/>
      <c r="AG6" s="2"/>
      <c r="AH6" s="2"/>
      <c r="AI6" s="3"/>
      <c r="AJ6" s="2"/>
      <c r="AK6" s="2"/>
      <c r="AL6" s="4"/>
      <c r="AM6" s="2"/>
      <c r="AN6" s="2"/>
      <c r="AO6" s="2"/>
    </row>
    <row r="7" spans="1:41" x14ac:dyDescent="0.25">
      <c r="B7" s="5">
        <v>210</v>
      </c>
      <c r="C7" s="6">
        <v>0.06</v>
      </c>
      <c r="D7" s="6">
        <v>0.43</v>
      </c>
      <c r="E7" s="6">
        <v>0.21</v>
      </c>
      <c r="F7" s="11">
        <v>4</v>
      </c>
      <c r="G7" s="6">
        <v>0.05</v>
      </c>
      <c r="H7" s="6">
        <v>0.1</v>
      </c>
      <c r="I7" s="6">
        <v>0.5</v>
      </c>
      <c r="J7" s="6">
        <v>0.11</v>
      </c>
      <c r="K7" s="6">
        <v>0.02</v>
      </c>
      <c r="L7" s="11">
        <v>40</v>
      </c>
      <c r="U7" s="2">
        <v>1</v>
      </c>
      <c r="V7" s="7">
        <f t="shared" ref="V7:V46" si="0">IF(MOD($U7,$F$4)=0,1,0)</f>
        <v>0</v>
      </c>
      <c r="W7" s="8">
        <f>C4</f>
        <v>0.06</v>
      </c>
      <c r="X7" s="9">
        <f>B4*(1+W7)</f>
        <v>222.60000000000002</v>
      </c>
      <c r="Y7" s="9">
        <f>X7*D4</f>
        <v>95.718000000000004</v>
      </c>
      <c r="Z7" s="9">
        <f t="shared" ref="Z7:Z46" si="1">X7-Y7</f>
        <v>126.88200000000002</v>
      </c>
      <c r="AA7" s="10">
        <f t="shared" ref="AA7:AA46" si="2">AB7/X7</f>
        <v>0.43</v>
      </c>
      <c r="AB7" s="9">
        <f>IF(V7=0,Y7,Y7*(1-$G$4)+Z7*$H$4)</f>
        <v>95.718000000000004</v>
      </c>
      <c r="AC7" s="9">
        <f t="shared" ref="AC7:AC46" si="3">IF(V7=0,AB7*$E$4,AB7*$E$4*(1-$I$4))</f>
        <v>20.10078</v>
      </c>
      <c r="AD7" s="9">
        <f t="shared" ref="AD7:AD46" si="4">AC7/(1+$J$4)^U7</f>
        <v>18.108810810810809</v>
      </c>
      <c r="AF7" s="2">
        <v>1</v>
      </c>
      <c r="AG7" s="7">
        <f t="shared" ref="AG7:AG46" si="5">IF(MOD($AF7,$F$5)=0,1,0)</f>
        <v>0</v>
      </c>
      <c r="AH7" s="8">
        <f>C5</f>
        <v>0.06</v>
      </c>
      <c r="AI7" s="9">
        <f>B5*(1+AH7)</f>
        <v>222.60000000000002</v>
      </c>
      <c r="AJ7" s="9">
        <f>AI7*D5</f>
        <v>95.718000000000004</v>
      </c>
      <c r="AK7" s="9">
        <f t="shared" ref="AK7:AK46" si="6">AI7-AJ7</f>
        <v>126.88200000000002</v>
      </c>
      <c r="AL7" s="10">
        <f t="shared" ref="AL7:AL46" si="7">AM7/AI7</f>
        <v>0.43</v>
      </c>
      <c r="AM7" s="9">
        <f>IF(AG7=0,AJ7,AJ7*(1-$G$5)+AK7*$H$5)</f>
        <v>95.718000000000004</v>
      </c>
      <c r="AN7" s="9">
        <f t="shared" ref="AN7:AN46" si="8">IF(AG7=0,AM7*$E$5,AM7*$E$5*(1-$I$5))</f>
        <v>20.10078</v>
      </c>
      <c r="AO7" s="9">
        <f t="shared" ref="AO7:AO46" si="9">AN7/(1+$J$5)^AF7</f>
        <v>18.108810810810809</v>
      </c>
    </row>
    <row r="8" spans="1:41" x14ac:dyDescent="0.25">
      <c r="B8" s="5">
        <v>210</v>
      </c>
      <c r="C8" s="6">
        <v>0.06</v>
      </c>
      <c r="D8" s="6">
        <v>0.43</v>
      </c>
      <c r="E8" s="6">
        <v>0.21</v>
      </c>
      <c r="F8" s="11">
        <v>4</v>
      </c>
      <c r="G8" s="6">
        <v>0.05</v>
      </c>
      <c r="H8" s="6">
        <v>0.1</v>
      </c>
      <c r="I8" s="6">
        <v>0.5</v>
      </c>
      <c r="J8" s="6">
        <v>0.11</v>
      </c>
      <c r="K8" s="6">
        <v>0.02</v>
      </c>
      <c r="L8" s="11">
        <v>40</v>
      </c>
      <c r="N8" s="27" t="s">
        <v>29</v>
      </c>
      <c r="U8" s="2">
        <f>IF(U7&gt;$L$4,"",U7+1)</f>
        <v>2</v>
      </c>
      <c r="V8" s="7">
        <f t="shared" si="0"/>
        <v>1</v>
      </c>
      <c r="W8" s="8">
        <f t="shared" ref="W8:W16" si="10">W7</f>
        <v>0.06</v>
      </c>
      <c r="X8" s="9">
        <f t="shared" ref="X8:X46" si="11">X7*(1+W8)</f>
        <v>235.95600000000005</v>
      </c>
      <c r="Y8" s="9">
        <f t="shared" ref="Y8:Y46" si="12">AB8</f>
        <v>101.46108000000001</v>
      </c>
      <c r="Z8" s="9">
        <f t="shared" si="1"/>
        <v>134.49492000000004</v>
      </c>
      <c r="AA8" s="10">
        <f t="shared" si="2"/>
        <v>0.42999999999999994</v>
      </c>
      <c r="AB8" s="9">
        <f t="shared" ref="AB8:AB46" si="13">IF(V7=0,AB7*(1+W8),AB7*(1+W8)*(1-$G$4)+Z7*(1+W8)*$H$4)</f>
        <v>101.46108000000001</v>
      </c>
      <c r="AC8" s="9">
        <f t="shared" si="3"/>
        <v>10.6534134</v>
      </c>
      <c r="AD8" s="9">
        <f t="shared" si="4"/>
        <v>8.646549306062818</v>
      </c>
      <c r="AF8" s="2">
        <f>IF(U7&gt;$L$5,"",U7+1)</f>
        <v>2</v>
      </c>
      <c r="AG8" s="7">
        <f t="shared" si="5"/>
        <v>0</v>
      </c>
      <c r="AH8" s="8">
        <f t="shared" ref="AH8:AH16" si="14">AH7</f>
        <v>0.06</v>
      </c>
      <c r="AI8" s="9">
        <f t="shared" ref="AI8:AI46" si="15">AI7*(1+AH8)</f>
        <v>235.95600000000005</v>
      </c>
      <c r="AJ8" s="9">
        <f t="shared" ref="AJ8:AJ46" si="16">AM8</f>
        <v>101.46108000000001</v>
      </c>
      <c r="AK8" s="9">
        <f t="shared" si="6"/>
        <v>134.49492000000004</v>
      </c>
      <c r="AL8" s="10">
        <f t="shared" si="7"/>
        <v>0.42999999999999994</v>
      </c>
      <c r="AM8" s="9">
        <f t="shared" ref="AM8:AM46" si="17">IF(AG7=0,AM7*(1+AH8),AM7*(1+AH8)*(1-$G$5)+AK7*(1+AH8)*$H$5)</f>
        <v>101.46108000000001</v>
      </c>
      <c r="AN8" s="9">
        <f t="shared" si="8"/>
        <v>21.3068268</v>
      </c>
      <c r="AO8" s="9">
        <f t="shared" si="9"/>
        <v>17.293098612125636</v>
      </c>
    </row>
    <row r="9" spans="1:41" x14ac:dyDescent="0.25">
      <c r="B9" s="5">
        <v>210</v>
      </c>
      <c r="C9" s="6">
        <v>0.06</v>
      </c>
      <c r="D9" s="6">
        <v>0.43</v>
      </c>
      <c r="E9" s="6">
        <v>0.21</v>
      </c>
      <c r="F9" s="11">
        <v>4</v>
      </c>
      <c r="G9" s="6">
        <v>0.05</v>
      </c>
      <c r="H9" s="6">
        <v>0.1</v>
      </c>
      <c r="I9" s="6">
        <v>0.5</v>
      </c>
      <c r="J9" s="6">
        <v>0.11</v>
      </c>
      <c r="K9" s="6">
        <v>0.02</v>
      </c>
      <c r="L9" s="11">
        <v>40</v>
      </c>
      <c r="N9" s="27" t="s">
        <v>30</v>
      </c>
      <c r="U9" s="2">
        <f t="shared" ref="U9:U46" si="18">IF(U8&gt;$L$4,"",U8+1)</f>
        <v>3</v>
      </c>
      <c r="V9" s="7">
        <f t="shared" si="0"/>
        <v>0</v>
      </c>
      <c r="W9" s="8">
        <f t="shared" si="10"/>
        <v>0.06</v>
      </c>
      <c r="X9" s="9">
        <f t="shared" si="11"/>
        <v>250.11336000000006</v>
      </c>
      <c r="Y9" s="9">
        <f t="shared" si="12"/>
        <v>116.42776908000002</v>
      </c>
      <c r="Z9" s="9">
        <f t="shared" si="1"/>
        <v>133.68559092000004</v>
      </c>
      <c r="AA9" s="10">
        <f t="shared" si="2"/>
        <v>0.46549999999999997</v>
      </c>
      <c r="AB9" s="9">
        <f t="shared" si="13"/>
        <v>116.42776908000002</v>
      </c>
      <c r="AC9" s="9">
        <f t="shared" si="3"/>
        <v>24.449831506800003</v>
      </c>
      <c r="AD9" s="9">
        <f t="shared" si="4"/>
        <v>17.877506072032585</v>
      </c>
      <c r="AF9" s="2">
        <f t="shared" ref="AF9:AF46" si="19">IF(U8&gt;$L$5,"",U8+1)</f>
        <v>3</v>
      </c>
      <c r="AG9" s="7">
        <f t="shared" si="5"/>
        <v>0</v>
      </c>
      <c r="AH9" s="8">
        <f t="shared" si="14"/>
        <v>0.06</v>
      </c>
      <c r="AI9" s="9">
        <f t="shared" si="15"/>
        <v>250.11336000000006</v>
      </c>
      <c r="AJ9" s="9">
        <f t="shared" si="16"/>
        <v>107.54874480000002</v>
      </c>
      <c r="AK9" s="9">
        <f t="shared" si="6"/>
        <v>142.56461520000005</v>
      </c>
      <c r="AL9" s="10">
        <f t="shared" si="7"/>
        <v>0.43</v>
      </c>
      <c r="AM9" s="9">
        <f t="shared" si="17"/>
        <v>107.54874480000002</v>
      </c>
      <c r="AN9" s="9">
        <f t="shared" si="8"/>
        <v>22.585236408000004</v>
      </c>
      <c r="AO9" s="9">
        <f t="shared" si="9"/>
        <v>16.514130206174034</v>
      </c>
    </row>
    <row r="10" spans="1:41" x14ac:dyDescent="0.25">
      <c r="B10" s="5">
        <v>210</v>
      </c>
      <c r="C10" s="6">
        <v>0.06</v>
      </c>
      <c r="D10" s="6">
        <v>0.43</v>
      </c>
      <c r="E10" s="6">
        <v>0.21</v>
      </c>
      <c r="F10" s="11">
        <v>4</v>
      </c>
      <c r="G10" s="6">
        <v>0.05</v>
      </c>
      <c r="H10" s="6">
        <v>0.1</v>
      </c>
      <c r="I10" s="6">
        <v>0.5</v>
      </c>
      <c r="J10" s="6">
        <v>0.11</v>
      </c>
      <c r="K10" s="6">
        <v>0.02</v>
      </c>
      <c r="L10" s="11">
        <v>40</v>
      </c>
      <c r="U10" s="2">
        <f t="shared" si="18"/>
        <v>4</v>
      </c>
      <c r="V10" s="7">
        <f t="shared" si="0"/>
        <v>1</v>
      </c>
      <c r="W10" s="8">
        <f t="shared" si="10"/>
        <v>0.06</v>
      </c>
      <c r="X10" s="9">
        <f t="shared" si="11"/>
        <v>265.12016160000007</v>
      </c>
      <c r="Y10" s="9">
        <f t="shared" si="12"/>
        <v>123.41343522480003</v>
      </c>
      <c r="Z10" s="9">
        <f t="shared" si="1"/>
        <v>141.70672637520005</v>
      </c>
      <c r="AA10" s="10">
        <f t="shared" si="2"/>
        <v>0.46549999999999997</v>
      </c>
      <c r="AB10" s="9">
        <f t="shared" si="13"/>
        <v>123.41343522480003</v>
      </c>
      <c r="AC10" s="9">
        <f t="shared" si="3"/>
        <v>12.958410698604002</v>
      </c>
      <c r="AD10" s="9">
        <f t="shared" si="4"/>
        <v>8.5361065028624061</v>
      </c>
      <c r="AF10" s="2">
        <f t="shared" si="19"/>
        <v>4</v>
      </c>
      <c r="AG10" s="7">
        <f t="shared" si="5"/>
        <v>1</v>
      </c>
      <c r="AH10" s="8">
        <f t="shared" si="14"/>
        <v>0.06</v>
      </c>
      <c r="AI10" s="9">
        <f t="shared" si="15"/>
        <v>265.12016160000007</v>
      </c>
      <c r="AJ10" s="9">
        <f t="shared" si="16"/>
        <v>114.00166948800003</v>
      </c>
      <c r="AK10" s="9">
        <f t="shared" si="6"/>
        <v>151.11849211200004</v>
      </c>
      <c r="AL10" s="10">
        <f t="shared" si="7"/>
        <v>0.43</v>
      </c>
      <c r="AM10" s="9">
        <f t="shared" si="17"/>
        <v>114.00166948800003</v>
      </c>
      <c r="AN10" s="9">
        <f t="shared" si="8"/>
        <v>11.970175296240003</v>
      </c>
      <c r="AO10" s="9">
        <f t="shared" si="9"/>
        <v>7.8851252335785924</v>
      </c>
    </row>
    <row r="11" spans="1:41" x14ac:dyDescent="0.25">
      <c r="B11" s="5">
        <v>210</v>
      </c>
      <c r="C11" s="6">
        <v>0.06</v>
      </c>
      <c r="D11" s="6">
        <v>0.43</v>
      </c>
      <c r="E11" s="6">
        <v>0.21</v>
      </c>
      <c r="F11" s="11">
        <v>4</v>
      </c>
      <c r="G11" s="6">
        <v>0.05</v>
      </c>
      <c r="H11" s="6">
        <v>0.1</v>
      </c>
      <c r="I11" s="6">
        <v>0.5</v>
      </c>
      <c r="J11" s="6">
        <v>0.11</v>
      </c>
      <c r="K11" s="6">
        <v>0.02</v>
      </c>
      <c r="L11" s="11">
        <v>40</v>
      </c>
      <c r="U11" s="2">
        <f t="shared" si="18"/>
        <v>5</v>
      </c>
      <c r="V11" s="7">
        <f t="shared" si="0"/>
        <v>0</v>
      </c>
      <c r="W11" s="8">
        <f t="shared" si="10"/>
        <v>0.06</v>
      </c>
      <c r="X11" s="9">
        <f t="shared" si="11"/>
        <v>281.02737129600007</v>
      </c>
      <c r="Y11" s="9">
        <f t="shared" si="12"/>
        <v>139.29824226714484</v>
      </c>
      <c r="Z11" s="9">
        <f t="shared" si="1"/>
        <v>141.72912902885523</v>
      </c>
      <c r="AA11" s="10">
        <f t="shared" si="2"/>
        <v>0.49567500000000003</v>
      </c>
      <c r="AB11" s="9">
        <f t="shared" si="13"/>
        <v>139.29824226714484</v>
      </c>
      <c r="AC11" s="9">
        <f t="shared" si="3"/>
        <v>29.252630876100415</v>
      </c>
      <c r="AD11" s="9">
        <f t="shared" si="4"/>
        <v>17.36001264262859</v>
      </c>
      <c r="AF11" s="2">
        <f t="shared" si="19"/>
        <v>5</v>
      </c>
      <c r="AG11" s="7">
        <f t="shared" si="5"/>
        <v>0</v>
      </c>
      <c r="AH11" s="8">
        <f t="shared" si="14"/>
        <v>0.06</v>
      </c>
      <c r="AI11" s="9">
        <f t="shared" si="15"/>
        <v>281.02737129600007</v>
      </c>
      <c r="AJ11" s="9">
        <f t="shared" si="16"/>
        <v>130.81824133828803</v>
      </c>
      <c r="AK11" s="9">
        <f t="shared" si="6"/>
        <v>150.20912995771204</v>
      </c>
      <c r="AL11" s="10">
        <f t="shared" si="7"/>
        <v>0.46550000000000002</v>
      </c>
      <c r="AM11" s="9">
        <f t="shared" si="17"/>
        <v>130.81824133828803</v>
      </c>
      <c r="AN11" s="9">
        <f t="shared" si="8"/>
        <v>27.471830681040487</v>
      </c>
      <c r="AO11" s="9">
        <f t="shared" si="9"/>
        <v>16.303194401863333</v>
      </c>
    </row>
    <row r="12" spans="1:41" x14ac:dyDescent="0.25">
      <c r="B12" s="5">
        <v>210</v>
      </c>
      <c r="C12" s="6">
        <v>0.06</v>
      </c>
      <c r="D12" s="6">
        <v>0.43</v>
      </c>
      <c r="E12" s="6">
        <v>0.21</v>
      </c>
      <c r="F12" s="11">
        <v>4</v>
      </c>
      <c r="G12" s="6">
        <v>0.05</v>
      </c>
      <c r="H12" s="6">
        <v>0.1</v>
      </c>
      <c r="I12" s="6">
        <v>0.5</v>
      </c>
      <c r="J12" s="6">
        <v>0.11</v>
      </c>
      <c r="K12" s="6">
        <v>0.02</v>
      </c>
      <c r="L12" s="11">
        <v>40</v>
      </c>
      <c r="U12" s="2">
        <f t="shared" si="18"/>
        <v>6</v>
      </c>
      <c r="V12" s="7">
        <f t="shared" si="0"/>
        <v>1</v>
      </c>
      <c r="W12" s="8">
        <f t="shared" si="10"/>
        <v>0.06</v>
      </c>
      <c r="X12" s="9">
        <f t="shared" si="11"/>
        <v>297.88901357376011</v>
      </c>
      <c r="Y12" s="9">
        <f t="shared" si="12"/>
        <v>147.65613680317355</v>
      </c>
      <c r="Z12" s="9">
        <f t="shared" si="1"/>
        <v>150.23287677058656</v>
      </c>
      <c r="AA12" s="10">
        <f t="shared" si="2"/>
        <v>0.49567500000000003</v>
      </c>
      <c r="AB12" s="9">
        <f t="shared" si="13"/>
        <v>147.65613680317355</v>
      </c>
      <c r="AC12" s="9">
        <f t="shared" si="3"/>
        <v>15.503894364333222</v>
      </c>
      <c r="AD12" s="9">
        <f t="shared" si="4"/>
        <v>8.2890150455794167</v>
      </c>
      <c r="AF12" s="2">
        <f t="shared" si="19"/>
        <v>6</v>
      </c>
      <c r="AG12" s="7">
        <f t="shared" si="5"/>
        <v>0</v>
      </c>
      <c r="AH12" s="8">
        <f t="shared" si="14"/>
        <v>0.06</v>
      </c>
      <c r="AI12" s="9">
        <f t="shared" si="15"/>
        <v>297.88901357376011</v>
      </c>
      <c r="AJ12" s="9">
        <f t="shared" si="16"/>
        <v>138.66733581858531</v>
      </c>
      <c r="AK12" s="9">
        <f t="shared" si="6"/>
        <v>159.2216777551748</v>
      </c>
      <c r="AL12" s="10">
        <f t="shared" si="7"/>
        <v>0.46549999999999997</v>
      </c>
      <c r="AM12" s="9">
        <f t="shared" si="17"/>
        <v>138.66733581858531</v>
      </c>
      <c r="AN12" s="9">
        <f t="shared" si="8"/>
        <v>29.120140521902915</v>
      </c>
      <c r="AO12" s="9">
        <f t="shared" si="9"/>
        <v>15.568816275653273</v>
      </c>
    </row>
    <row r="13" spans="1:41" x14ac:dyDescent="0.25">
      <c r="B13" s="5">
        <v>210</v>
      </c>
      <c r="C13" s="6">
        <v>0.06</v>
      </c>
      <c r="D13" s="6">
        <v>0.43</v>
      </c>
      <c r="E13" s="6">
        <v>0.21</v>
      </c>
      <c r="F13" s="11">
        <v>4</v>
      </c>
      <c r="G13" s="6">
        <v>0.05</v>
      </c>
      <c r="H13" s="6">
        <v>0.1</v>
      </c>
      <c r="I13" s="6">
        <v>0.5</v>
      </c>
      <c r="J13" s="6">
        <v>0.11</v>
      </c>
      <c r="K13" s="6">
        <v>0.02</v>
      </c>
      <c r="L13" s="11">
        <v>40</v>
      </c>
      <c r="U13" s="2">
        <f t="shared" si="18"/>
        <v>7</v>
      </c>
      <c r="V13" s="7">
        <f t="shared" si="0"/>
        <v>0</v>
      </c>
      <c r="W13" s="8">
        <f t="shared" si="10"/>
        <v>0.06</v>
      </c>
      <c r="X13" s="9">
        <f t="shared" si="11"/>
        <v>315.76235438818571</v>
      </c>
      <c r="Y13" s="9">
        <f t="shared" si="12"/>
        <v>164.61441469847796</v>
      </c>
      <c r="Z13" s="9">
        <f t="shared" si="1"/>
        <v>151.14793968970775</v>
      </c>
      <c r="AA13" s="10">
        <f t="shared" si="2"/>
        <v>0.52132375000000009</v>
      </c>
      <c r="AB13" s="9">
        <f t="shared" si="13"/>
        <v>164.61441469847796</v>
      </c>
      <c r="AC13" s="9">
        <f t="shared" si="3"/>
        <v>34.569027086680371</v>
      </c>
      <c r="AD13" s="9">
        <f t="shared" si="4"/>
        <v>16.650462652611598</v>
      </c>
      <c r="AF13" s="2">
        <f t="shared" si="19"/>
        <v>7</v>
      </c>
      <c r="AG13" s="7">
        <f t="shared" si="5"/>
        <v>0</v>
      </c>
      <c r="AH13" s="8">
        <f t="shared" si="14"/>
        <v>0.06</v>
      </c>
      <c r="AI13" s="9">
        <f t="shared" si="15"/>
        <v>315.76235438818571</v>
      </c>
      <c r="AJ13" s="9">
        <f t="shared" si="16"/>
        <v>146.98737596770044</v>
      </c>
      <c r="AK13" s="9">
        <f t="shared" si="6"/>
        <v>168.77497842048527</v>
      </c>
      <c r="AL13" s="10">
        <f t="shared" si="7"/>
        <v>0.46549999999999997</v>
      </c>
      <c r="AM13" s="9">
        <f t="shared" si="17"/>
        <v>146.98737596770044</v>
      </c>
      <c r="AN13" s="9">
        <f t="shared" si="8"/>
        <v>30.867348953217093</v>
      </c>
      <c r="AO13" s="9">
        <f t="shared" si="9"/>
        <v>14.867518245218442</v>
      </c>
    </row>
    <row r="14" spans="1:41" x14ac:dyDescent="0.25">
      <c r="B14" s="5">
        <v>210</v>
      </c>
      <c r="C14" s="6">
        <v>0.06</v>
      </c>
      <c r="D14" s="6">
        <v>0.43</v>
      </c>
      <c r="E14" s="6">
        <v>0.21</v>
      </c>
      <c r="F14" s="11">
        <v>4</v>
      </c>
      <c r="G14" s="6">
        <v>0.05</v>
      </c>
      <c r="H14" s="6">
        <v>0.1</v>
      </c>
      <c r="I14" s="6">
        <v>0.5</v>
      </c>
      <c r="J14" s="6">
        <v>0.11</v>
      </c>
      <c r="K14" s="6">
        <v>0.02</v>
      </c>
      <c r="L14" s="11">
        <v>40</v>
      </c>
      <c r="U14" s="2">
        <f t="shared" si="18"/>
        <v>8</v>
      </c>
      <c r="V14" s="7">
        <f t="shared" si="0"/>
        <v>1</v>
      </c>
      <c r="W14" s="8">
        <f t="shared" si="10"/>
        <v>0.06</v>
      </c>
      <c r="X14" s="9">
        <f t="shared" si="11"/>
        <v>334.70809565147687</v>
      </c>
      <c r="Y14" s="9">
        <f t="shared" si="12"/>
        <v>174.49127958038665</v>
      </c>
      <c r="Z14" s="9">
        <f t="shared" si="1"/>
        <v>160.21681607109022</v>
      </c>
      <c r="AA14" s="10">
        <f t="shared" si="2"/>
        <v>0.52132375000000009</v>
      </c>
      <c r="AB14" s="9">
        <f t="shared" si="13"/>
        <v>174.49127958038665</v>
      </c>
      <c r="AC14" s="9">
        <f t="shared" si="3"/>
        <v>18.321584355940598</v>
      </c>
      <c r="AD14" s="9">
        <f t="shared" si="4"/>
        <v>7.9502209062019329</v>
      </c>
      <c r="AF14" s="2">
        <f t="shared" si="19"/>
        <v>8</v>
      </c>
      <c r="AG14" s="7">
        <f t="shared" si="5"/>
        <v>1</v>
      </c>
      <c r="AH14" s="8">
        <f t="shared" si="14"/>
        <v>0.06</v>
      </c>
      <c r="AI14" s="9">
        <f t="shared" si="15"/>
        <v>334.70809565147687</v>
      </c>
      <c r="AJ14" s="9">
        <f t="shared" si="16"/>
        <v>155.80661852576247</v>
      </c>
      <c r="AK14" s="9">
        <f t="shared" si="6"/>
        <v>178.90147712571439</v>
      </c>
      <c r="AL14" s="10">
        <f t="shared" si="7"/>
        <v>0.46549999999999997</v>
      </c>
      <c r="AM14" s="9">
        <f t="shared" si="17"/>
        <v>155.80661852576247</v>
      </c>
      <c r="AN14" s="9">
        <f t="shared" si="8"/>
        <v>16.35969494520506</v>
      </c>
      <c r="AO14" s="9">
        <f t="shared" si="9"/>
        <v>7.0989051080772727</v>
      </c>
    </row>
    <row r="15" spans="1:41" x14ac:dyDescent="0.25">
      <c r="B15" s="5">
        <v>210</v>
      </c>
      <c r="C15" s="6">
        <v>0.06</v>
      </c>
      <c r="D15" s="6">
        <v>0.43</v>
      </c>
      <c r="E15" s="6">
        <v>0.21</v>
      </c>
      <c r="F15" s="11">
        <v>4</v>
      </c>
      <c r="G15" s="6">
        <v>0.05</v>
      </c>
      <c r="H15" s="6">
        <v>0.1</v>
      </c>
      <c r="I15" s="6">
        <v>0.5</v>
      </c>
      <c r="J15" s="6">
        <v>0.11</v>
      </c>
      <c r="K15" s="6">
        <v>0.02</v>
      </c>
      <c r="L15" s="11">
        <v>40</v>
      </c>
      <c r="U15" s="2">
        <f t="shared" si="18"/>
        <v>9</v>
      </c>
      <c r="V15" s="7">
        <f t="shared" si="0"/>
        <v>0</v>
      </c>
      <c r="W15" s="8">
        <f t="shared" si="10"/>
        <v>0.06</v>
      </c>
      <c r="X15" s="9">
        <f t="shared" si="11"/>
        <v>354.79058139056548</v>
      </c>
      <c r="Y15" s="9">
        <f t="shared" si="12"/>
        <v>192.69570104098494</v>
      </c>
      <c r="Z15" s="9">
        <f t="shared" si="1"/>
        <v>162.09488034958054</v>
      </c>
      <c r="AA15" s="10">
        <f t="shared" si="2"/>
        <v>0.54312518750000016</v>
      </c>
      <c r="AB15" s="9">
        <f t="shared" si="13"/>
        <v>192.69570104098494</v>
      </c>
      <c r="AC15" s="9">
        <f t="shared" si="3"/>
        <v>40.466097218606834</v>
      </c>
      <c r="AD15" s="9">
        <f t="shared" si="4"/>
        <v>15.819199806238871</v>
      </c>
      <c r="AF15" s="2">
        <f t="shared" si="19"/>
        <v>9</v>
      </c>
      <c r="AG15" s="7">
        <f t="shared" si="5"/>
        <v>0</v>
      </c>
      <c r="AH15" s="8">
        <f t="shared" si="14"/>
        <v>0.06</v>
      </c>
      <c r="AI15" s="9">
        <f t="shared" si="15"/>
        <v>354.79058139056548</v>
      </c>
      <c r="AJ15" s="9">
        <f t="shared" si="16"/>
        <v>175.86082143076854</v>
      </c>
      <c r="AK15" s="9">
        <f t="shared" si="6"/>
        <v>178.92975995979694</v>
      </c>
      <c r="AL15" s="10">
        <f t="shared" si="7"/>
        <v>0.49567499999999998</v>
      </c>
      <c r="AM15" s="9">
        <f t="shared" si="17"/>
        <v>175.86082143076854</v>
      </c>
      <c r="AN15" s="9">
        <f t="shared" si="8"/>
        <v>36.930772500461394</v>
      </c>
      <c r="AO15" s="9">
        <f t="shared" si="9"/>
        <v>14.43715379883289</v>
      </c>
    </row>
    <row r="16" spans="1:41" x14ac:dyDescent="0.25">
      <c r="B16" s="5">
        <v>210</v>
      </c>
      <c r="C16" s="6">
        <v>0.06</v>
      </c>
      <c r="D16" s="6">
        <v>0.43</v>
      </c>
      <c r="E16" s="6">
        <v>0.21</v>
      </c>
      <c r="F16" s="11">
        <v>4</v>
      </c>
      <c r="G16" s="6">
        <v>0.05</v>
      </c>
      <c r="H16" s="6">
        <v>0.1</v>
      </c>
      <c r="I16" s="6">
        <v>0.5</v>
      </c>
      <c r="J16" s="6">
        <v>0.11</v>
      </c>
      <c r="K16" s="6">
        <v>0.02</v>
      </c>
      <c r="L16" s="11">
        <v>40</v>
      </c>
      <c r="U16" s="2">
        <f t="shared" si="18"/>
        <v>10</v>
      </c>
      <c r="V16" s="7">
        <f t="shared" si="0"/>
        <v>1</v>
      </c>
      <c r="W16" s="8">
        <f t="shared" si="10"/>
        <v>0.06</v>
      </c>
      <c r="X16" s="9">
        <f t="shared" si="11"/>
        <v>376.07801627399942</v>
      </c>
      <c r="Y16" s="9">
        <f t="shared" si="12"/>
        <v>204.25744310344405</v>
      </c>
      <c r="Z16" s="9">
        <f t="shared" si="1"/>
        <v>171.82057317055538</v>
      </c>
      <c r="AA16" s="10">
        <f t="shared" si="2"/>
        <v>0.54312518750000016</v>
      </c>
      <c r="AB16" s="9">
        <f t="shared" si="13"/>
        <v>204.25744310344405</v>
      </c>
      <c r="AC16" s="9">
        <f t="shared" si="3"/>
        <v>21.447031525861625</v>
      </c>
      <c r="AD16" s="9">
        <f t="shared" si="4"/>
        <v>7.5533116191951359</v>
      </c>
      <c r="AF16" s="2">
        <f t="shared" si="19"/>
        <v>10</v>
      </c>
      <c r="AG16" s="7">
        <f t="shared" si="5"/>
        <v>0</v>
      </c>
      <c r="AH16" s="8">
        <f t="shared" si="14"/>
        <v>0.06</v>
      </c>
      <c r="AI16" s="9">
        <f t="shared" si="15"/>
        <v>376.07801627399942</v>
      </c>
      <c r="AJ16" s="9">
        <f t="shared" si="16"/>
        <v>186.41247071661465</v>
      </c>
      <c r="AK16" s="9">
        <f t="shared" si="6"/>
        <v>189.66554555738477</v>
      </c>
      <c r="AL16" s="10">
        <f t="shared" si="7"/>
        <v>0.49567499999999998</v>
      </c>
      <c r="AM16" s="9">
        <f t="shared" si="17"/>
        <v>186.41247071661465</v>
      </c>
      <c r="AN16" s="9">
        <f t="shared" si="8"/>
        <v>39.146618850489077</v>
      </c>
      <c r="AO16" s="9">
        <f t="shared" si="9"/>
        <v>13.786831555642216</v>
      </c>
    </row>
    <row r="17" spans="2:41" x14ac:dyDescent="0.25">
      <c r="B17" s="5">
        <v>210</v>
      </c>
      <c r="C17" s="6">
        <v>0.06</v>
      </c>
      <c r="D17" s="6">
        <v>0.43</v>
      </c>
      <c r="E17" s="6">
        <v>0.21</v>
      </c>
      <c r="F17" s="11">
        <v>4</v>
      </c>
      <c r="G17" s="6">
        <v>0.05</v>
      </c>
      <c r="H17" s="6">
        <v>0.1</v>
      </c>
      <c r="I17" s="6">
        <v>0.5</v>
      </c>
      <c r="J17" s="6">
        <v>0.11</v>
      </c>
      <c r="K17" s="6">
        <v>0.02</v>
      </c>
      <c r="L17" s="11">
        <v>40</v>
      </c>
      <c r="U17" s="2">
        <f t="shared" si="18"/>
        <v>11</v>
      </c>
      <c r="V17" s="7">
        <f t="shared" si="0"/>
        <v>0</v>
      </c>
      <c r="W17" s="8">
        <f t="shared" ref="W17:W45" si="20">$W$16-(($W$16-$W$46)/30)*(U17-10)</f>
        <v>5.8666666666666666E-2</v>
      </c>
      <c r="X17" s="9">
        <f t="shared" si="11"/>
        <v>398.14125989540736</v>
      </c>
      <c r="Y17" s="9">
        <f t="shared" si="12"/>
        <v>223.61859045689323</v>
      </c>
      <c r="Z17" s="9">
        <f t="shared" si="1"/>
        <v>174.52266943851413</v>
      </c>
      <c r="AA17" s="10">
        <f t="shared" si="2"/>
        <v>0.56165640937500017</v>
      </c>
      <c r="AB17" s="9">
        <f t="shared" si="13"/>
        <v>223.61859045689323</v>
      </c>
      <c r="AC17" s="9">
        <f t="shared" si="3"/>
        <v>46.959903995947577</v>
      </c>
      <c r="AD17" s="9">
        <f t="shared" si="4"/>
        <v>14.899593974875499</v>
      </c>
      <c r="AF17" s="2">
        <f t="shared" si="19"/>
        <v>11</v>
      </c>
      <c r="AG17" s="7">
        <f t="shared" si="5"/>
        <v>0</v>
      </c>
      <c r="AH17" s="8">
        <f t="shared" ref="AH17:AH45" si="21">$AH$16-(($AH$16-$AH$46)/30)*(AF17-10)</f>
        <v>5.8666666666666666E-2</v>
      </c>
      <c r="AI17" s="9">
        <f t="shared" si="15"/>
        <v>398.14125989540736</v>
      </c>
      <c r="AJ17" s="9">
        <f t="shared" si="16"/>
        <v>197.34866899865605</v>
      </c>
      <c r="AK17" s="9">
        <f t="shared" si="6"/>
        <v>200.79259089675131</v>
      </c>
      <c r="AL17" s="10">
        <f t="shared" si="7"/>
        <v>0.49567500000000003</v>
      </c>
      <c r="AM17" s="9">
        <f t="shared" si="17"/>
        <v>197.34866899865605</v>
      </c>
      <c r="AN17" s="9">
        <f t="shared" si="8"/>
        <v>41.443220489717767</v>
      </c>
      <c r="AO17" s="9">
        <f t="shared" si="9"/>
        <v>13.149242348564467</v>
      </c>
    </row>
    <row r="18" spans="2:41" x14ac:dyDescent="0.25">
      <c r="B18" s="5">
        <v>210</v>
      </c>
      <c r="C18" s="6">
        <v>0.06</v>
      </c>
      <c r="D18" s="6">
        <v>0.43</v>
      </c>
      <c r="E18" s="6">
        <v>0.21</v>
      </c>
      <c r="F18" s="11">
        <v>4</v>
      </c>
      <c r="G18" s="6">
        <v>0.05</v>
      </c>
      <c r="H18" s="6">
        <v>0.1</v>
      </c>
      <c r="I18" s="6">
        <v>0.5</v>
      </c>
      <c r="J18" s="6">
        <v>0.11</v>
      </c>
      <c r="K18" s="6">
        <v>0.02</v>
      </c>
      <c r="L18" s="11">
        <v>40</v>
      </c>
      <c r="U18" s="2">
        <f t="shared" si="18"/>
        <v>12</v>
      </c>
      <c r="V18" s="7">
        <f t="shared" si="0"/>
        <v>1</v>
      </c>
      <c r="W18" s="8">
        <f t="shared" si="20"/>
        <v>5.7333333333333333E-2</v>
      </c>
      <c r="X18" s="9">
        <f t="shared" si="11"/>
        <v>420.96802546274398</v>
      </c>
      <c r="Y18" s="9">
        <f t="shared" si="12"/>
        <v>236.43938964308842</v>
      </c>
      <c r="Z18" s="9">
        <f t="shared" si="1"/>
        <v>184.52863581965556</v>
      </c>
      <c r="AA18" s="10">
        <f t="shared" si="2"/>
        <v>0.56165640937500017</v>
      </c>
      <c r="AB18" s="9">
        <f t="shared" si="13"/>
        <v>236.43938964308842</v>
      </c>
      <c r="AC18" s="9">
        <f t="shared" si="3"/>
        <v>24.826135912524283</v>
      </c>
      <c r="AD18" s="9">
        <f t="shared" si="4"/>
        <v>7.0963231363821428</v>
      </c>
      <c r="AF18" s="2">
        <f t="shared" si="19"/>
        <v>12</v>
      </c>
      <c r="AG18" s="7">
        <f t="shared" si="5"/>
        <v>1</v>
      </c>
      <c r="AH18" s="8">
        <f t="shared" si="21"/>
        <v>5.7333333333333333E-2</v>
      </c>
      <c r="AI18" s="9">
        <f t="shared" si="15"/>
        <v>420.96802546274398</v>
      </c>
      <c r="AJ18" s="9">
        <f t="shared" si="16"/>
        <v>208.66332602124564</v>
      </c>
      <c r="AK18" s="9">
        <f t="shared" si="6"/>
        <v>212.30469944149834</v>
      </c>
      <c r="AL18" s="10">
        <f t="shared" si="7"/>
        <v>0.49567500000000003</v>
      </c>
      <c r="AM18" s="9">
        <f t="shared" si="17"/>
        <v>208.66332602124564</v>
      </c>
      <c r="AN18" s="9">
        <f t="shared" si="8"/>
        <v>21.909649232230791</v>
      </c>
      <c r="AO18" s="9">
        <f t="shared" si="9"/>
        <v>6.2626721816286013</v>
      </c>
    </row>
    <row r="19" spans="2:41" x14ac:dyDescent="0.25">
      <c r="B19" s="5">
        <v>210</v>
      </c>
      <c r="C19" s="6">
        <v>0.06</v>
      </c>
      <c r="D19" s="6">
        <v>0.43</v>
      </c>
      <c r="E19" s="6">
        <v>0.21</v>
      </c>
      <c r="F19" s="11">
        <v>4</v>
      </c>
      <c r="G19" s="6">
        <v>0.05</v>
      </c>
      <c r="H19" s="6">
        <v>0.1</v>
      </c>
      <c r="I19" s="6">
        <v>0.5</v>
      </c>
      <c r="J19" s="6">
        <v>0.11</v>
      </c>
      <c r="K19" s="6">
        <v>0.02</v>
      </c>
      <c r="L19" s="11">
        <v>40</v>
      </c>
      <c r="U19" s="2">
        <f t="shared" si="18"/>
        <v>13</v>
      </c>
      <c r="V19" s="7">
        <f t="shared" si="0"/>
        <v>0</v>
      </c>
      <c r="W19" s="8">
        <f t="shared" si="20"/>
        <v>5.6000000000000001E-2</v>
      </c>
      <c r="X19" s="9">
        <f t="shared" si="11"/>
        <v>444.54223488865767</v>
      </c>
      <c r="Y19" s="9">
        <f t="shared" si="12"/>
        <v>256.68221963250193</v>
      </c>
      <c r="Z19" s="9">
        <f t="shared" si="1"/>
        <v>187.86001525615575</v>
      </c>
      <c r="AA19" s="10">
        <f t="shared" si="2"/>
        <v>0.57740794796875006</v>
      </c>
      <c r="AB19" s="9">
        <f t="shared" si="13"/>
        <v>256.68221963250193</v>
      </c>
      <c r="AC19" s="9">
        <f t="shared" si="3"/>
        <v>53.9032661228254</v>
      </c>
      <c r="AD19" s="9">
        <f t="shared" si="4"/>
        <v>13.880859445061308</v>
      </c>
      <c r="AF19" s="2">
        <f t="shared" si="19"/>
        <v>13</v>
      </c>
      <c r="AG19" s="7">
        <f t="shared" si="5"/>
        <v>0</v>
      </c>
      <c r="AH19" s="8">
        <f t="shared" si="21"/>
        <v>5.6000000000000001E-2</v>
      </c>
      <c r="AI19" s="9">
        <f t="shared" si="15"/>
        <v>444.54223488865767</v>
      </c>
      <c r="AJ19" s="9">
        <f t="shared" si="16"/>
        <v>231.75042492553584</v>
      </c>
      <c r="AK19" s="9">
        <f t="shared" si="6"/>
        <v>212.79180996312184</v>
      </c>
      <c r="AL19" s="10">
        <f t="shared" si="7"/>
        <v>0.52132374999999997</v>
      </c>
      <c r="AM19" s="9">
        <f t="shared" si="17"/>
        <v>231.75042492553584</v>
      </c>
      <c r="AN19" s="9">
        <f t="shared" si="8"/>
        <v>48.667589234362524</v>
      </c>
      <c r="AO19" s="9">
        <f t="shared" si="9"/>
        <v>12.532598009049092</v>
      </c>
    </row>
    <row r="20" spans="2:41" x14ac:dyDescent="0.25">
      <c r="B20" s="5">
        <v>210</v>
      </c>
      <c r="C20" s="6">
        <v>0.06</v>
      </c>
      <c r="D20" s="6">
        <v>0.43</v>
      </c>
      <c r="E20" s="6">
        <v>0.21</v>
      </c>
      <c r="F20" s="11">
        <v>4</v>
      </c>
      <c r="G20" s="6">
        <v>0.05</v>
      </c>
      <c r="H20" s="6">
        <v>0.1</v>
      </c>
      <c r="I20" s="6">
        <v>0.5</v>
      </c>
      <c r="J20" s="6">
        <v>0.11</v>
      </c>
      <c r="K20" s="6">
        <v>0.02</v>
      </c>
      <c r="L20" s="11">
        <v>40</v>
      </c>
      <c r="U20" s="2">
        <f t="shared" si="18"/>
        <v>14</v>
      </c>
      <c r="V20" s="7">
        <f t="shared" si="0"/>
        <v>1</v>
      </c>
      <c r="W20" s="8">
        <f t="shared" si="20"/>
        <v>5.4666666666666669E-2</v>
      </c>
      <c r="X20" s="9">
        <f t="shared" si="11"/>
        <v>468.84387706257093</v>
      </c>
      <c r="Y20" s="9">
        <f t="shared" si="12"/>
        <v>270.71418097241201</v>
      </c>
      <c r="Z20" s="9">
        <f t="shared" si="1"/>
        <v>198.12969609015892</v>
      </c>
      <c r="AA20" s="10">
        <f t="shared" si="2"/>
        <v>0.57740794796875006</v>
      </c>
      <c r="AB20" s="9">
        <f t="shared" si="13"/>
        <v>270.71418097241201</v>
      </c>
      <c r="AC20" s="9">
        <f t="shared" si="3"/>
        <v>28.42498900210326</v>
      </c>
      <c r="AD20" s="9">
        <f t="shared" si="4"/>
        <v>6.5944503429690648</v>
      </c>
      <c r="AF20" s="2">
        <f t="shared" si="19"/>
        <v>14</v>
      </c>
      <c r="AG20" s="7">
        <f t="shared" si="5"/>
        <v>0</v>
      </c>
      <c r="AH20" s="8">
        <f t="shared" si="21"/>
        <v>5.4666666666666669E-2</v>
      </c>
      <c r="AI20" s="9">
        <f t="shared" si="15"/>
        <v>468.84387706257093</v>
      </c>
      <c r="AJ20" s="9">
        <f t="shared" si="16"/>
        <v>244.41944815479846</v>
      </c>
      <c r="AK20" s="9">
        <f t="shared" si="6"/>
        <v>224.42442890777247</v>
      </c>
      <c r="AL20" s="10">
        <f t="shared" si="7"/>
        <v>0.52132374999999997</v>
      </c>
      <c r="AM20" s="9">
        <f t="shared" si="17"/>
        <v>244.41944815479846</v>
      </c>
      <c r="AN20" s="9">
        <f t="shared" si="8"/>
        <v>51.328084112507675</v>
      </c>
      <c r="AO20" s="9">
        <f t="shared" si="9"/>
        <v>11.907849880069469</v>
      </c>
    </row>
    <row r="21" spans="2:41" x14ac:dyDescent="0.25">
      <c r="B21" s="5">
        <v>210</v>
      </c>
      <c r="C21" s="6">
        <v>0.06</v>
      </c>
      <c r="D21" s="6">
        <v>0.43</v>
      </c>
      <c r="E21" s="6">
        <v>0.21</v>
      </c>
      <c r="F21" s="11">
        <v>4</v>
      </c>
      <c r="G21" s="6">
        <v>0.05</v>
      </c>
      <c r="H21" s="6">
        <v>0.1</v>
      </c>
      <c r="I21" s="6">
        <v>0.5</v>
      </c>
      <c r="J21" s="6">
        <v>0.11</v>
      </c>
      <c r="K21" s="6">
        <v>0.02</v>
      </c>
      <c r="L21" s="11">
        <v>40</v>
      </c>
      <c r="U21" s="2">
        <f t="shared" si="18"/>
        <v>15</v>
      </c>
      <c r="V21" s="7">
        <f t="shared" si="0"/>
        <v>0</v>
      </c>
      <c r="W21" s="8">
        <f t="shared" si="20"/>
        <v>5.333333333333333E-2</v>
      </c>
      <c r="X21" s="9">
        <f t="shared" si="11"/>
        <v>493.84888383924135</v>
      </c>
      <c r="Y21" s="9">
        <f t="shared" si="12"/>
        <v>291.76431841455695</v>
      </c>
      <c r="Z21" s="9">
        <f t="shared" si="1"/>
        <v>202.0845654246844</v>
      </c>
      <c r="AA21" s="10">
        <f t="shared" si="2"/>
        <v>0.59079675577343749</v>
      </c>
      <c r="AB21" s="9">
        <f t="shared" si="13"/>
        <v>291.76431841455695</v>
      </c>
      <c r="AC21" s="9">
        <f t="shared" si="3"/>
        <v>61.270506867056959</v>
      </c>
      <c r="AD21" s="9">
        <f t="shared" si="4"/>
        <v>12.805802256683105</v>
      </c>
      <c r="AF21" s="2">
        <f t="shared" si="19"/>
        <v>15</v>
      </c>
      <c r="AG21" s="7">
        <f t="shared" si="5"/>
        <v>0</v>
      </c>
      <c r="AH21" s="8">
        <f t="shared" si="21"/>
        <v>5.333333333333333E-2</v>
      </c>
      <c r="AI21" s="9">
        <f t="shared" si="15"/>
        <v>493.84888383924135</v>
      </c>
      <c r="AJ21" s="9">
        <f t="shared" si="16"/>
        <v>257.4551520563877</v>
      </c>
      <c r="AK21" s="9">
        <f t="shared" si="6"/>
        <v>236.39373178285365</v>
      </c>
      <c r="AL21" s="10">
        <f t="shared" si="7"/>
        <v>0.52132374999999997</v>
      </c>
      <c r="AM21" s="9">
        <f t="shared" si="17"/>
        <v>257.4551520563877</v>
      </c>
      <c r="AN21" s="9">
        <f t="shared" si="8"/>
        <v>54.065581931841415</v>
      </c>
      <c r="AO21" s="9">
        <f t="shared" si="9"/>
        <v>11.299941627933791</v>
      </c>
    </row>
    <row r="22" spans="2:41" x14ac:dyDescent="0.25">
      <c r="B22" s="5">
        <v>210</v>
      </c>
      <c r="C22" s="6">
        <v>0.06</v>
      </c>
      <c r="D22" s="6">
        <v>0.43</v>
      </c>
      <c r="E22" s="6">
        <v>0.21</v>
      </c>
      <c r="F22" s="11">
        <v>4</v>
      </c>
      <c r="G22" s="6">
        <v>0.05</v>
      </c>
      <c r="H22" s="6">
        <v>0.1</v>
      </c>
      <c r="I22" s="6">
        <v>0.5</v>
      </c>
      <c r="J22" s="6">
        <v>0.11</v>
      </c>
      <c r="K22" s="6">
        <v>0.02</v>
      </c>
      <c r="L22" s="11">
        <v>40</v>
      </c>
      <c r="U22" s="2">
        <f t="shared" si="18"/>
        <v>16</v>
      </c>
      <c r="V22" s="7">
        <f t="shared" si="0"/>
        <v>1</v>
      </c>
      <c r="W22" s="8">
        <f t="shared" si="20"/>
        <v>5.1999999999999998E-2</v>
      </c>
      <c r="X22" s="9">
        <f t="shared" si="11"/>
        <v>519.52902579888189</v>
      </c>
      <c r="Y22" s="9">
        <f t="shared" si="12"/>
        <v>306.93606297211392</v>
      </c>
      <c r="Z22" s="9">
        <f t="shared" si="1"/>
        <v>212.59296282676797</v>
      </c>
      <c r="AA22" s="10">
        <f t="shared" si="2"/>
        <v>0.59079675577343749</v>
      </c>
      <c r="AB22" s="9">
        <f t="shared" si="13"/>
        <v>306.93606297211392</v>
      </c>
      <c r="AC22" s="9">
        <f t="shared" si="3"/>
        <v>32.228286612071962</v>
      </c>
      <c r="AD22" s="9">
        <f t="shared" si="4"/>
        <v>6.068335123437218</v>
      </c>
      <c r="AF22" s="2">
        <f t="shared" si="19"/>
        <v>16</v>
      </c>
      <c r="AG22" s="7">
        <f t="shared" si="5"/>
        <v>1</v>
      </c>
      <c r="AH22" s="8">
        <f t="shared" si="21"/>
        <v>5.1999999999999998E-2</v>
      </c>
      <c r="AI22" s="9">
        <f t="shared" si="15"/>
        <v>519.52902579888189</v>
      </c>
      <c r="AJ22" s="9">
        <f t="shared" si="16"/>
        <v>270.84281996331987</v>
      </c>
      <c r="AK22" s="9">
        <f t="shared" si="6"/>
        <v>248.68620583556202</v>
      </c>
      <c r="AL22" s="10">
        <f t="shared" si="7"/>
        <v>0.52132375000000009</v>
      </c>
      <c r="AM22" s="9">
        <f t="shared" si="17"/>
        <v>270.84281996331987</v>
      </c>
      <c r="AN22" s="9">
        <f t="shared" si="8"/>
        <v>28.438496096148587</v>
      </c>
      <c r="AO22" s="9">
        <f t="shared" si="9"/>
        <v>5.3547471137776332</v>
      </c>
    </row>
    <row r="23" spans="2:41" x14ac:dyDescent="0.25">
      <c r="B23" s="5">
        <v>210</v>
      </c>
      <c r="C23" s="6">
        <v>0.06</v>
      </c>
      <c r="D23" s="6">
        <v>0.43</v>
      </c>
      <c r="E23" s="6">
        <v>0.21</v>
      </c>
      <c r="F23" s="11">
        <v>4</v>
      </c>
      <c r="G23" s="6">
        <v>0.05</v>
      </c>
      <c r="H23" s="6">
        <v>0.1</v>
      </c>
      <c r="I23" s="6">
        <v>0.5</v>
      </c>
      <c r="J23" s="6">
        <v>0.11</v>
      </c>
      <c r="K23" s="6">
        <v>0.02</v>
      </c>
      <c r="L23" s="11">
        <v>40</v>
      </c>
      <c r="U23" s="2">
        <f t="shared" si="18"/>
        <v>17</v>
      </c>
      <c r="V23" s="7">
        <f t="shared" si="0"/>
        <v>0</v>
      </c>
      <c r="W23" s="8">
        <f t="shared" si="20"/>
        <v>5.0666666666666665E-2</v>
      </c>
      <c r="X23" s="9">
        <f t="shared" si="11"/>
        <v>545.85182977269187</v>
      </c>
      <c r="Y23" s="9">
        <f t="shared" si="12"/>
        <v>328.69954961556505</v>
      </c>
      <c r="Z23" s="9">
        <f t="shared" si="1"/>
        <v>217.15228015712682</v>
      </c>
      <c r="AA23" s="10">
        <f t="shared" si="2"/>
        <v>0.60217724240742188</v>
      </c>
      <c r="AB23" s="9">
        <f t="shared" si="13"/>
        <v>328.69954961556505</v>
      </c>
      <c r="AC23" s="9">
        <f t="shared" si="3"/>
        <v>69.026905419268658</v>
      </c>
      <c r="AD23" s="9">
        <f t="shared" si="4"/>
        <v>11.709214567362702</v>
      </c>
      <c r="AF23" s="2">
        <f t="shared" si="19"/>
        <v>17</v>
      </c>
      <c r="AG23" s="7">
        <f t="shared" si="5"/>
        <v>0</v>
      </c>
      <c r="AH23" s="8">
        <f t="shared" si="21"/>
        <v>5.0666666666666665E-2</v>
      </c>
      <c r="AI23" s="9">
        <f t="shared" si="15"/>
        <v>545.85182977269187</v>
      </c>
      <c r="AJ23" s="9">
        <f t="shared" si="16"/>
        <v>296.4658773925114</v>
      </c>
      <c r="AK23" s="9">
        <f t="shared" si="6"/>
        <v>249.38595238018047</v>
      </c>
      <c r="AL23" s="10">
        <f t="shared" si="7"/>
        <v>0.54312518750000005</v>
      </c>
      <c r="AM23" s="9">
        <f t="shared" si="17"/>
        <v>296.4658773925114</v>
      </c>
      <c r="AN23" s="9">
        <f t="shared" si="8"/>
        <v>62.257834252427394</v>
      </c>
      <c r="AO23" s="9">
        <f t="shared" si="9"/>
        <v>10.560959314822187</v>
      </c>
    </row>
    <row r="24" spans="2:41" x14ac:dyDescent="0.25">
      <c r="B24" s="5">
        <v>210</v>
      </c>
      <c r="C24" s="6">
        <v>0.06</v>
      </c>
      <c r="D24" s="6">
        <v>0.43</v>
      </c>
      <c r="E24" s="6">
        <v>0.21</v>
      </c>
      <c r="F24" s="11">
        <v>4</v>
      </c>
      <c r="G24" s="6">
        <v>0.05</v>
      </c>
      <c r="H24" s="6">
        <v>0.1</v>
      </c>
      <c r="I24" s="6">
        <v>0.5</v>
      </c>
      <c r="J24" s="6">
        <v>0.11</v>
      </c>
      <c r="K24" s="6">
        <v>0.02</v>
      </c>
      <c r="L24" s="11">
        <v>40</v>
      </c>
      <c r="U24" s="2">
        <f t="shared" si="18"/>
        <v>18</v>
      </c>
      <c r="V24" s="7">
        <f t="shared" si="0"/>
        <v>1</v>
      </c>
      <c r="W24" s="8">
        <f t="shared" si="20"/>
        <v>4.9333333333333333E-2</v>
      </c>
      <c r="X24" s="9">
        <f t="shared" si="11"/>
        <v>572.78052004147798</v>
      </c>
      <c r="Y24" s="9">
        <f t="shared" si="12"/>
        <v>344.91539406326621</v>
      </c>
      <c r="Z24" s="9">
        <f t="shared" si="1"/>
        <v>227.86512597821178</v>
      </c>
      <c r="AA24" s="10">
        <f t="shared" si="2"/>
        <v>0.60217724240742176</v>
      </c>
      <c r="AB24" s="9">
        <f t="shared" si="13"/>
        <v>344.91539406326621</v>
      </c>
      <c r="AC24" s="9">
        <f t="shared" si="3"/>
        <v>36.216116376642951</v>
      </c>
      <c r="AD24" s="9">
        <f t="shared" si="4"/>
        <v>5.5346257444531197</v>
      </c>
      <c r="AF24" s="2">
        <f t="shared" si="19"/>
        <v>18</v>
      </c>
      <c r="AG24" s="7">
        <f t="shared" si="5"/>
        <v>0</v>
      </c>
      <c r="AH24" s="8">
        <f t="shared" si="21"/>
        <v>4.9333333333333333E-2</v>
      </c>
      <c r="AI24" s="9">
        <f t="shared" si="15"/>
        <v>572.78052004147798</v>
      </c>
      <c r="AJ24" s="9">
        <f t="shared" si="16"/>
        <v>311.09152734387527</v>
      </c>
      <c r="AK24" s="9">
        <f t="shared" si="6"/>
        <v>261.68899269760271</v>
      </c>
      <c r="AL24" s="10">
        <f t="shared" si="7"/>
        <v>0.54312518750000005</v>
      </c>
      <c r="AM24" s="9">
        <f t="shared" si="17"/>
        <v>311.09152734387527</v>
      </c>
      <c r="AN24" s="9">
        <f t="shared" si="8"/>
        <v>65.329220742213806</v>
      </c>
      <c r="AO24" s="9">
        <f t="shared" si="9"/>
        <v>9.9837537306487203</v>
      </c>
    </row>
    <row r="25" spans="2:41" x14ac:dyDescent="0.25">
      <c r="B25" s="5">
        <v>210</v>
      </c>
      <c r="C25" s="6">
        <v>0.06</v>
      </c>
      <c r="D25" s="6">
        <v>0.43</v>
      </c>
      <c r="E25" s="6">
        <v>0.21</v>
      </c>
      <c r="F25" s="11">
        <v>4</v>
      </c>
      <c r="G25" s="6">
        <v>0.05</v>
      </c>
      <c r="H25" s="6">
        <v>0.1</v>
      </c>
      <c r="I25" s="6">
        <v>0.5</v>
      </c>
      <c r="J25" s="6">
        <v>0.11</v>
      </c>
      <c r="K25" s="6">
        <v>0.02</v>
      </c>
      <c r="L25" s="11">
        <v>40</v>
      </c>
      <c r="U25" s="2">
        <f t="shared" si="18"/>
        <v>19</v>
      </c>
      <c r="V25" s="7">
        <f t="shared" si="0"/>
        <v>0</v>
      </c>
      <c r="W25" s="8">
        <f t="shared" si="20"/>
        <v>4.8000000000000001E-2</v>
      </c>
      <c r="X25" s="9">
        <f t="shared" si="11"/>
        <v>600.27398500346897</v>
      </c>
      <c r="Y25" s="9">
        <f t="shared" si="12"/>
        <v>367.27803153190439</v>
      </c>
      <c r="Z25" s="9">
        <f t="shared" si="1"/>
        <v>232.99595347156458</v>
      </c>
      <c r="AA25" s="10">
        <f t="shared" si="2"/>
        <v>0.61185065604630839</v>
      </c>
      <c r="AB25" s="9">
        <f t="shared" si="13"/>
        <v>367.27803153190439</v>
      </c>
      <c r="AC25" s="9">
        <f t="shared" si="3"/>
        <v>77.128386621699917</v>
      </c>
      <c r="AD25" s="9">
        <f t="shared" si="4"/>
        <v>10.618854005633089</v>
      </c>
      <c r="AF25" s="2">
        <f t="shared" si="19"/>
        <v>19</v>
      </c>
      <c r="AG25" s="7">
        <f t="shared" si="5"/>
        <v>0</v>
      </c>
      <c r="AH25" s="8">
        <f t="shared" si="21"/>
        <v>4.8000000000000001E-2</v>
      </c>
      <c r="AI25" s="9">
        <f t="shared" si="15"/>
        <v>600.27398500346897</v>
      </c>
      <c r="AJ25" s="9">
        <f t="shared" si="16"/>
        <v>326.02392065638128</v>
      </c>
      <c r="AK25" s="9">
        <f t="shared" si="6"/>
        <v>274.25006434708769</v>
      </c>
      <c r="AL25" s="10">
        <f t="shared" si="7"/>
        <v>0.54312518750000005</v>
      </c>
      <c r="AM25" s="9">
        <f t="shared" si="17"/>
        <v>326.02392065638128</v>
      </c>
      <c r="AN25" s="9">
        <f t="shared" si="8"/>
        <v>68.465023337840066</v>
      </c>
      <c r="AO25" s="9">
        <f t="shared" si="9"/>
        <v>9.4261026213692407</v>
      </c>
    </row>
    <row r="26" spans="2:41" x14ac:dyDescent="0.25">
      <c r="U26" s="2">
        <f t="shared" si="18"/>
        <v>20</v>
      </c>
      <c r="V26" s="7">
        <f t="shared" si="0"/>
        <v>1</v>
      </c>
      <c r="W26" s="8">
        <f t="shared" si="20"/>
        <v>4.6666666666666669E-2</v>
      </c>
      <c r="X26" s="9">
        <f t="shared" si="11"/>
        <v>628.28677097029754</v>
      </c>
      <c r="Y26" s="9">
        <f t="shared" si="12"/>
        <v>384.41767300339325</v>
      </c>
      <c r="Z26" s="9">
        <f t="shared" si="1"/>
        <v>243.86909796690429</v>
      </c>
      <c r="AA26" s="10">
        <f t="shared" si="2"/>
        <v>0.61185065604630839</v>
      </c>
      <c r="AB26" s="9">
        <f t="shared" si="13"/>
        <v>384.41767300339325</v>
      </c>
      <c r="AC26" s="9">
        <f t="shared" si="3"/>
        <v>40.36385566535629</v>
      </c>
      <c r="AD26" s="9">
        <f t="shared" si="4"/>
        <v>5.0064867233765611</v>
      </c>
      <c r="AF26" s="2">
        <f t="shared" si="19"/>
        <v>20</v>
      </c>
      <c r="AG26" s="7">
        <f t="shared" si="5"/>
        <v>1</v>
      </c>
      <c r="AH26" s="8">
        <f t="shared" si="21"/>
        <v>4.6666666666666669E-2</v>
      </c>
      <c r="AI26" s="9">
        <f t="shared" si="15"/>
        <v>628.28677097029754</v>
      </c>
      <c r="AJ26" s="9">
        <f t="shared" si="16"/>
        <v>341.2383702870124</v>
      </c>
      <c r="AK26" s="9">
        <f t="shared" si="6"/>
        <v>287.04840068328514</v>
      </c>
      <c r="AL26" s="10">
        <f t="shared" si="7"/>
        <v>0.54312518749999994</v>
      </c>
      <c r="AM26" s="9">
        <f t="shared" si="17"/>
        <v>341.2383702870124</v>
      </c>
      <c r="AN26" s="9">
        <f t="shared" si="8"/>
        <v>35.830028880136304</v>
      </c>
      <c r="AO26" s="9">
        <f t="shared" si="9"/>
        <v>4.4441384731380502</v>
      </c>
    </row>
    <row r="27" spans="2:41" x14ac:dyDescent="0.25">
      <c r="U27" s="2">
        <f t="shared" si="18"/>
        <v>21</v>
      </c>
      <c r="V27" s="7">
        <f t="shared" si="0"/>
        <v>0</v>
      </c>
      <c r="W27" s="8">
        <f t="shared" si="20"/>
        <v>4.5333333333333337E-2</v>
      </c>
      <c r="X27" s="9">
        <f t="shared" si="11"/>
        <v>656.76910458761768</v>
      </c>
      <c r="Y27" s="9">
        <f t="shared" si="12"/>
        <v>407.24482684471008</v>
      </c>
      <c r="Z27" s="9">
        <f t="shared" si="1"/>
        <v>249.5242777429076</v>
      </c>
      <c r="AA27" s="10">
        <f t="shared" si="2"/>
        <v>0.62007305763936205</v>
      </c>
      <c r="AB27" s="9">
        <f t="shared" si="13"/>
        <v>407.24482684471008</v>
      </c>
      <c r="AC27" s="9">
        <f t="shared" si="3"/>
        <v>85.521413637389117</v>
      </c>
      <c r="AD27" s="9">
        <f t="shared" si="4"/>
        <v>9.5563559218692298</v>
      </c>
      <c r="AF27" s="2">
        <f t="shared" si="19"/>
        <v>21</v>
      </c>
      <c r="AG27" s="7">
        <f t="shared" si="5"/>
        <v>0</v>
      </c>
      <c r="AH27" s="8">
        <f t="shared" si="21"/>
        <v>4.5333333333333337E-2</v>
      </c>
      <c r="AI27" s="9">
        <f t="shared" si="15"/>
        <v>656.76910458761768</v>
      </c>
      <c r="AJ27" s="9">
        <f t="shared" si="16"/>
        <v>368.87857707111516</v>
      </c>
      <c r="AK27" s="9">
        <f t="shared" si="6"/>
        <v>287.89052751650252</v>
      </c>
      <c r="AL27" s="10">
        <f t="shared" si="7"/>
        <v>0.56165640937499994</v>
      </c>
      <c r="AM27" s="9">
        <f t="shared" si="17"/>
        <v>368.87857707111516</v>
      </c>
      <c r="AN27" s="9">
        <f t="shared" si="8"/>
        <v>77.464501184934178</v>
      </c>
      <c r="AO27" s="9">
        <f t="shared" si="9"/>
        <v>8.6560583267726692</v>
      </c>
    </row>
    <row r="28" spans="2:41" x14ac:dyDescent="0.25">
      <c r="U28" s="2">
        <f t="shared" si="18"/>
        <v>22</v>
      </c>
      <c r="V28" s="7">
        <f t="shared" si="0"/>
        <v>1</v>
      </c>
      <c r="W28" s="8">
        <f t="shared" si="20"/>
        <v>4.3999999999999997E-2</v>
      </c>
      <c r="X28" s="9">
        <f t="shared" si="11"/>
        <v>685.66694518947293</v>
      </c>
      <c r="Y28" s="9">
        <f t="shared" si="12"/>
        <v>425.16359922587736</v>
      </c>
      <c r="Z28" s="9">
        <f t="shared" si="1"/>
        <v>260.50334596359556</v>
      </c>
      <c r="AA28" s="10">
        <f t="shared" si="2"/>
        <v>0.62007305763936205</v>
      </c>
      <c r="AB28" s="9">
        <f t="shared" si="13"/>
        <v>425.16359922587736</v>
      </c>
      <c r="AC28" s="9">
        <f t="shared" si="3"/>
        <v>44.642177918717124</v>
      </c>
      <c r="AD28" s="9">
        <f t="shared" si="4"/>
        <v>4.4940700821763411</v>
      </c>
      <c r="AF28" s="2">
        <f t="shared" si="19"/>
        <v>22</v>
      </c>
      <c r="AG28" s="7">
        <f t="shared" si="5"/>
        <v>0</v>
      </c>
      <c r="AH28" s="8">
        <f t="shared" si="21"/>
        <v>4.3999999999999997E-2</v>
      </c>
      <c r="AI28" s="9">
        <f t="shared" si="15"/>
        <v>685.66694518947293</v>
      </c>
      <c r="AJ28" s="9">
        <f t="shared" si="16"/>
        <v>385.10923446224422</v>
      </c>
      <c r="AK28" s="9">
        <f t="shared" si="6"/>
        <v>300.55771072722871</v>
      </c>
      <c r="AL28" s="10">
        <f t="shared" si="7"/>
        <v>0.56165640937499994</v>
      </c>
      <c r="AM28" s="9">
        <f t="shared" si="17"/>
        <v>385.10923446224422</v>
      </c>
      <c r="AN28" s="9">
        <f t="shared" si="8"/>
        <v>80.872939237071279</v>
      </c>
      <c r="AO28" s="9">
        <f t="shared" si="9"/>
        <v>8.1413737776132127</v>
      </c>
    </row>
    <row r="29" spans="2:41" x14ac:dyDescent="0.25">
      <c r="U29" s="2">
        <f t="shared" si="18"/>
        <v>23</v>
      </c>
      <c r="V29" s="7">
        <f t="shared" si="0"/>
        <v>0</v>
      </c>
      <c r="W29" s="8">
        <f t="shared" si="20"/>
        <v>4.2666666666666672E-2</v>
      </c>
      <c r="X29" s="9">
        <f t="shared" si="11"/>
        <v>714.92206818422369</v>
      </c>
      <c r="Y29" s="9">
        <f t="shared" si="12"/>
        <v>448.30053269234327</v>
      </c>
      <c r="Z29" s="9">
        <f t="shared" si="1"/>
        <v>266.62153549188042</v>
      </c>
      <c r="AA29" s="10">
        <f t="shared" si="2"/>
        <v>0.62706209899345777</v>
      </c>
      <c r="AB29" s="9">
        <f t="shared" si="13"/>
        <v>448.30053269234327</v>
      </c>
      <c r="AC29" s="9">
        <f t="shared" si="3"/>
        <v>94.143111865392086</v>
      </c>
      <c r="AD29" s="9">
        <f t="shared" si="4"/>
        <v>8.5380764184505225</v>
      </c>
      <c r="AF29" s="2">
        <f t="shared" si="19"/>
        <v>23</v>
      </c>
      <c r="AG29" s="7">
        <f t="shared" si="5"/>
        <v>0</v>
      </c>
      <c r="AH29" s="8">
        <f t="shared" si="21"/>
        <v>4.2666666666666672E-2</v>
      </c>
      <c r="AI29" s="9">
        <f t="shared" si="15"/>
        <v>714.92206818422369</v>
      </c>
      <c r="AJ29" s="9">
        <f t="shared" si="16"/>
        <v>401.54056179929995</v>
      </c>
      <c r="AK29" s="9">
        <f t="shared" si="6"/>
        <v>313.38150638492374</v>
      </c>
      <c r="AL29" s="10">
        <f t="shared" si="7"/>
        <v>0.56165640937499994</v>
      </c>
      <c r="AM29" s="9">
        <f t="shared" si="17"/>
        <v>401.54056179929995</v>
      </c>
      <c r="AN29" s="9">
        <f t="shared" si="8"/>
        <v>84.323517977852987</v>
      </c>
      <c r="AO29" s="9">
        <f t="shared" si="9"/>
        <v>7.6475126655778167</v>
      </c>
    </row>
    <row r="30" spans="2:41" x14ac:dyDescent="0.25">
      <c r="U30" s="2">
        <f t="shared" si="18"/>
        <v>24</v>
      </c>
      <c r="V30" s="7">
        <f t="shared" si="0"/>
        <v>1</v>
      </c>
      <c r="W30" s="8">
        <f t="shared" si="20"/>
        <v>4.1333333333333333E-2</v>
      </c>
      <c r="X30" s="9">
        <f t="shared" si="11"/>
        <v>744.47218033583817</v>
      </c>
      <c r="Y30" s="9">
        <f t="shared" si="12"/>
        <v>466.83028804362675</v>
      </c>
      <c r="Z30" s="9">
        <f t="shared" si="1"/>
        <v>277.64189229221142</v>
      </c>
      <c r="AA30" s="10">
        <f t="shared" si="2"/>
        <v>0.62706209899345788</v>
      </c>
      <c r="AB30" s="9">
        <f t="shared" si="13"/>
        <v>466.83028804362675</v>
      </c>
      <c r="AC30" s="9">
        <f t="shared" si="3"/>
        <v>49.017180244580807</v>
      </c>
      <c r="AD30" s="9">
        <f t="shared" si="4"/>
        <v>4.0049475572431561</v>
      </c>
      <c r="AF30" s="2">
        <f t="shared" si="19"/>
        <v>24</v>
      </c>
      <c r="AG30" s="7">
        <f t="shared" si="5"/>
        <v>1</v>
      </c>
      <c r="AH30" s="8">
        <f t="shared" si="21"/>
        <v>4.1333333333333333E-2</v>
      </c>
      <c r="AI30" s="9">
        <f t="shared" si="15"/>
        <v>744.47218033583817</v>
      </c>
      <c r="AJ30" s="9">
        <f t="shared" si="16"/>
        <v>418.13757168700431</v>
      </c>
      <c r="AK30" s="9">
        <f t="shared" si="6"/>
        <v>326.33460864883386</v>
      </c>
      <c r="AL30" s="10">
        <f t="shared" si="7"/>
        <v>0.56165640937499994</v>
      </c>
      <c r="AM30" s="9">
        <f t="shared" si="17"/>
        <v>418.13757168700431</v>
      </c>
      <c r="AN30" s="9">
        <f t="shared" si="8"/>
        <v>43.904445027135452</v>
      </c>
      <c r="AO30" s="9">
        <f t="shared" si="9"/>
        <v>3.5872116467365003</v>
      </c>
    </row>
    <row r="31" spans="2:41" x14ac:dyDescent="0.25">
      <c r="U31" s="2">
        <f t="shared" si="18"/>
        <v>25</v>
      </c>
      <c r="V31" s="7">
        <f t="shared" si="0"/>
        <v>0</v>
      </c>
      <c r="W31" s="8">
        <f t="shared" si="20"/>
        <v>0.04</v>
      </c>
      <c r="X31" s="9">
        <f t="shared" si="11"/>
        <v>774.25106754927174</v>
      </c>
      <c r="Y31" s="9">
        <f t="shared" si="12"/>
        <v>490.10308138549317</v>
      </c>
      <c r="Z31" s="9">
        <f t="shared" si="1"/>
        <v>284.14798616377857</v>
      </c>
      <c r="AA31" s="10">
        <f t="shared" si="2"/>
        <v>0.63300278414443911</v>
      </c>
      <c r="AB31" s="9">
        <f t="shared" si="13"/>
        <v>490.10308138549317</v>
      </c>
      <c r="AC31" s="9">
        <f t="shared" si="3"/>
        <v>102.92164709095356</v>
      </c>
      <c r="AD31" s="9">
        <f t="shared" si="4"/>
        <v>7.5758655415870573</v>
      </c>
      <c r="AF31" s="2">
        <f t="shared" si="19"/>
        <v>25</v>
      </c>
      <c r="AG31" s="7">
        <f t="shared" si="5"/>
        <v>0</v>
      </c>
      <c r="AH31" s="8">
        <f t="shared" si="21"/>
        <v>0.04</v>
      </c>
      <c r="AI31" s="9">
        <f t="shared" si="15"/>
        <v>774.25106754927174</v>
      </c>
      <c r="AJ31" s="9">
        <f t="shared" si="16"/>
        <v>447.058720126239</v>
      </c>
      <c r="AK31" s="9">
        <f t="shared" si="6"/>
        <v>327.19234742303274</v>
      </c>
      <c r="AL31" s="10">
        <f t="shared" si="7"/>
        <v>0.57740794796874995</v>
      </c>
      <c r="AM31" s="9">
        <f t="shared" si="17"/>
        <v>447.058720126239</v>
      </c>
      <c r="AN31" s="9">
        <f t="shared" si="8"/>
        <v>93.882331226510189</v>
      </c>
      <c r="AO31" s="9">
        <f t="shared" si="9"/>
        <v>6.9104987940413221</v>
      </c>
    </row>
    <row r="32" spans="2:41" x14ac:dyDescent="0.25">
      <c r="U32" s="2">
        <f t="shared" si="18"/>
        <v>26</v>
      </c>
      <c r="V32" s="7">
        <f t="shared" si="0"/>
        <v>1</v>
      </c>
      <c r="W32" s="8">
        <f t="shared" si="20"/>
        <v>3.8666666666666669E-2</v>
      </c>
      <c r="X32" s="9">
        <f t="shared" si="11"/>
        <v>804.1887754945102</v>
      </c>
      <c r="Y32" s="9">
        <f t="shared" si="12"/>
        <v>509.05373386573223</v>
      </c>
      <c r="Z32" s="9">
        <f t="shared" si="1"/>
        <v>295.13504162877797</v>
      </c>
      <c r="AA32" s="10">
        <f t="shared" si="2"/>
        <v>0.63300278414443911</v>
      </c>
      <c r="AB32" s="9">
        <f t="shared" si="13"/>
        <v>509.05373386573223</v>
      </c>
      <c r="AC32" s="9">
        <f t="shared" si="3"/>
        <v>53.450642055901881</v>
      </c>
      <c r="AD32" s="9">
        <f t="shared" si="4"/>
        <v>3.5445040581959866</v>
      </c>
      <c r="AF32" s="2">
        <f t="shared" si="19"/>
        <v>26</v>
      </c>
      <c r="AG32" s="7">
        <f t="shared" si="5"/>
        <v>0</v>
      </c>
      <c r="AH32" s="8">
        <f t="shared" si="21"/>
        <v>3.8666666666666669E-2</v>
      </c>
      <c r="AI32" s="9">
        <f t="shared" si="15"/>
        <v>804.1887754945102</v>
      </c>
      <c r="AJ32" s="9">
        <f t="shared" si="16"/>
        <v>464.34499063778691</v>
      </c>
      <c r="AK32" s="9">
        <f t="shared" si="6"/>
        <v>339.84378485672329</v>
      </c>
      <c r="AL32" s="10">
        <f t="shared" si="7"/>
        <v>0.57740794796874995</v>
      </c>
      <c r="AM32" s="9">
        <f t="shared" si="17"/>
        <v>464.34499063778691</v>
      </c>
      <c r="AN32" s="9">
        <f t="shared" si="8"/>
        <v>97.512448033935243</v>
      </c>
      <c r="AO32" s="9">
        <f t="shared" si="9"/>
        <v>6.4664006733431707</v>
      </c>
    </row>
    <row r="33" spans="21:41" x14ac:dyDescent="0.25">
      <c r="U33" s="2">
        <f t="shared" si="18"/>
        <v>27</v>
      </c>
      <c r="V33" s="7">
        <f t="shared" si="0"/>
        <v>0</v>
      </c>
      <c r="W33" s="8">
        <f t="shared" si="20"/>
        <v>3.7333333333333336E-2</v>
      </c>
      <c r="X33" s="9">
        <f t="shared" si="11"/>
        <v>834.21182311297196</v>
      </c>
      <c r="Y33" s="9">
        <f t="shared" si="12"/>
        <v>532.27082791850887</v>
      </c>
      <c r="Z33" s="9">
        <f t="shared" si="1"/>
        <v>301.94099519446308</v>
      </c>
      <c r="AA33" s="10">
        <f t="shared" si="2"/>
        <v>0.63805236652277331</v>
      </c>
      <c r="AB33" s="9">
        <f t="shared" si="13"/>
        <v>532.27082791850887</v>
      </c>
      <c r="AC33" s="9">
        <f t="shared" si="3"/>
        <v>111.77687386288686</v>
      </c>
      <c r="AD33" s="9">
        <f t="shared" si="4"/>
        <v>6.6777711575492482</v>
      </c>
      <c r="AF33" s="2">
        <f t="shared" si="19"/>
        <v>27</v>
      </c>
      <c r="AG33" s="7">
        <f t="shared" si="5"/>
        <v>0</v>
      </c>
      <c r="AH33" s="8">
        <f t="shared" si="21"/>
        <v>3.7333333333333336E-2</v>
      </c>
      <c r="AI33" s="9">
        <f t="shared" si="15"/>
        <v>834.21182311297196</v>
      </c>
      <c r="AJ33" s="9">
        <f t="shared" si="16"/>
        <v>481.68053695493103</v>
      </c>
      <c r="AK33" s="9">
        <f t="shared" si="6"/>
        <v>352.53128615804093</v>
      </c>
      <c r="AL33" s="10">
        <f t="shared" si="7"/>
        <v>0.57740794796875006</v>
      </c>
      <c r="AM33" s="9">
        <f t="shared" si="17"/>
        <v>481.68053695493103</v>
      </c>
      <c r="AN33" s="9">
        <f t="shared" si="8"/>
        <v>101.15291276053551</v>
      </c>
      <c r="AO33" s="9">
        <f t="shared" si="9"/>
        <v>6.0430747433765619</v>
      </c>
    </row>
    <row r="34" spans="21:41" x14ac:dyDescent="0.25">
      <c r="U34" s="2">
        <f t="shared" si="18"/>
        <v>28</v>
      </c>
      <c r="V34" s="7">
        <f t="shared" si="0"/>
        <v>1</v>
      </c>
      <c r="W34" s="8">
        <f t="shared" si="20"/>
        <v>3.6000000000000004E-2</v>
      </c>
      <c r="X34" s="9">
        <f t="shared" si="11"/>
        <v>864.24344874503902</v>
      </c>
      <c r="Y34" s="9">
        <f t="shared" si="12"/>
        <v>551.43257772357526</v>
      </c>
      <c r="Z34" s="9">
        <f t="shared" si="1"/>
        <v>312.81087102146375</v>
      </c>
      <c r="AA34" s="10">
        <f t="shared" si="2"/>
        <v>0.63805236652277331</v>
      </c>
      <c r="AB34" s="9">
        <f t="shared" si="13"/>
        <v>551.43257772357526</v>
      </c>
      <c r="AC34" s="9">
        <f t="shared" si="3"/>
        <v>57.900420660975399</v>
      </c>
      <c r="AD34" s="9">
        <f t="shared" si="4"/>
        <v>3.1162932068563154</v>
      </c>
      <c r="AF34" s="2">
        <f t="shared" si="19"/>
        <v>28</v>
      </c>
      <c r="AG34" s="7">
        <f t="shared" si="5"/>
        <v>1</v>
      </c>
      <c r="AH34" s="8">
        <f t="shared" si="21"/>
        <v>3.6000000000000004E-2</v>
      </c>
      <c r="AI34" s="9">
        <f t="shared" si="15"/>
        <v>864.24344874503902</v>
      </c>
      <c r="AJ34" s="9">
        <f t="shared" si="16"/>
        <v>499.02103628530858</v>
      </c>
      <c r="AK34" s="9">
        <f t="shared" si="6"/>
        <v>365.22241245973044</v>
      </c>
      <c r="AL34" s="10">
        <f t="shared" si="7"/>
        <v>0.57740794796875006</v>
      </c>
      <c r="AM34" s="9">
        <f t="shared" si="17"/>
        <v>499.02103628530858</v>
      </c>
      <c r="AN34" s="9">
        <f t="shared" si="8"/>
        <v>52.397208809957398</v>
      </c>
      <c r="AO34" s="9">
        <f t="shared" si="9"/>
        <v>2.8201015469090618</v>
      </c>
    </row>
    <row r="35" spans="21:41" x14ac:dyDescent="0.25">
      <c r="U35" s="2">
        <f t="shared" si="18"/>
        <v>29</v>
      </c>
      <c r="V35" s="7">
        <f t="shared" si="0"/>
        <v>0</v>
      </c>
      <c r="W35" s="8">
        <f t="shared" si="20"/>
        <v>3.4666666666666665E-2</v>
      </c>
      <c r="X35" s="9">
        <f t="shared" si="11"/>
        <v>894.20388830153365</v>
      </c>
      <c r="Y35" s="9">
        <f t="shared" si="12"/>
        <v>574.38695985211359</v>
      </c>
      <c r="Z35" s="9">
        <f t="shared" si="1"/>
        <v>319.81692844942006</v>
      </c>
      <c r="AA35" s="10">
        <f t="shared" si="2"/>
        <v>0.64234451154435723</v>
      </c>
      <c r="AB35" s="9">
        <f t="shared" si="13"/>
        <v>574.38695985211359</v>
      </c>
      <c r="AC35" s="9">
        <f t="shared" si="3"/>
        <v>120.62126156894385</v>
      </c>
      <c r="AD35" s="9">
        <f t="shared" si="4"/>
        <v>5.8486748990404243</v>
      </c>
      <c r="AF35" s="2">
        <f t="shared" si="19"/>
        <v>29</v>
      </c>
      <c r="AG35" s="7">
        <f t="shared" si="5"/>
        <v>0</v>
      </c>
      <c r="AH35" s="8">
        <f t="shared" si="21"/>
        <v>3.4666666666666665E-2</v>
      </c>
      <c r="AI35" s="9">
        <f t="shared" si="15"/>
        <v>894.20388830153365</v>
      </c>
      <c r="AJ35" s="9">
        <f t="shared" si="16"/>
        <v>528.29275620853934</v>
      </c>
      <c r="AK35" s="9">
        <f t="shared" si="6"/>
        <v>365.91113209299431</v>
      </c>
      <c r="AL35" s="10">
        <f t="shared" si="7"/>
        <v>0.59079675577343749</v>
      </c>
      <c r="AM35" s="9">
        <f t="shared" si="17"/>
        <v>528.29275620853934</v>
      </c>
      <c r="AN35" s="9">
        <f t="shared" si="8"/>
        <v>110.94147880379326</v>
      </c>
      <c r="AO35" s="9">
        <f t="shared" si="9"/>
        <v>5.3793223010795632</v>
      </c>
    </row>
    <row r="36" spans="21:41" x14ac:dyDescent="0.25">
      <c r="U36" s="2">
        <f t="shared" si="18"/>
        <v>30</v>
      </c>
      <c r="V36" s="7">
        <f t="shared" si="0"/>
        <v>1</v>
      </c>
      <c r="W36" s="8">
        <f t="shared" si="20"/>
        <v>3.333333333333334E-2</v>
      </c>
      <c r="X36" s="9">
        <f t="shared" si="11"/>
        <v>924.01068457825158</v>
      </c>
      <c r="Y36" s="9">
        <f t="shared" si="12"/>
        <v>593.53319184718407</v>
      </c>
      <c r="Z36" s="9">
        <f t="shared" si="1"/>
        <v>330.47749273106751</v>
      </c>
      <c r="AA36" s="10">
        <f t="shared" si="2"/>
        <v>0.64234451154435712</v>
      </c>
      <c r="AB36" s="9">
        <f t="shared" si="13"/>
        <v>593.53319184718407</v>
      </c>
      <c r="AC36" s="9">
        <f t="shared" si="3"/>
        <v>62.320985143954324</v>
      </c>
      <c r="AD36" s="9">
        <f t="shared" si="4"/>
        <v>2.722356184238035</v>
      </c>
      <c r="AF36" s="2">
        <f t="shared" si="19"/>
        <v>30</v>
      </c>
      <c r="AG36" s="7">
        <f t="shared" si="5"/>
        <v>0</v>
      </c>
      <c r="AH36" s="8">
        <f t="shared" si="21"/>
        <v>3.333333333333334E-2</v>
      </c>
      <c r="AI36" s="9">
        <f t="shared" si="15"/>
        <v>924.01068457825158</v>
      </c>
      <c r="AJ36" s="9">
        <f t="shared" si="16"/>
        <v>545.90251474882405</v>
      </c>
      <c r="AK36" s="9">
        <f t="shared" si="6"/>
        <v>378.10816982942754</v>
      </c>
      <c r="AL36" s="10">
        <f t="shared" si="7"/>
        <v>0.59079675577343749</v>
      </c>
      <c r="AM36" s="9">
        <f t="shared" si="17"/>
        <v>545.90251474882405</v>
      </c>
      <c r="AN36" s="9">
        <f t="shared" si="8"/>
        <v>114.63952809725305</v>
      </c>
      <c r="AO36" s="9">
        <f t="shared" si="9"/>
        <v>5.0077775175215153</v>
      </c>
    </row>
    <row r="37" spans="21:41" x14ac:dyDescent="0.25">
      <c r="U37" s="2">
        <f t="shared" si="18"/>
        <v>31</v>
      </c>
      <c r="V37" s="7">
        <f t="shared" si="0"/>
        <v>0</v>
      </c>
      <c r="W37" s="8">
        <f t="shared" si="20"/>
        <v>3.2000000000000001E-2</v>
      </c>
      <c r="X37" s="9">
        <f t="shared" si="11"/>
        <v>953.57902648475567</v>
      </c>
      <c r="Y37" s="9">
        <f t="shared" si="12"/>
        <v>616.0052185368254</v>
      </c>
      <c r="Z37" s="9">
        <f t="shared" si="1"/>
        <v>337.57380794793028</v>
      </c>
      <c r="AA37" s="10">
        <f t="shared" si="2"/>
        <v>0.64599283481270353</v>
      </c>
      <c r="AB37" s="9">
        <f t="shared" si="13"/>
        <v>616.0052185368254</v>
      </c>
      <c r="AC37" s="9">
        <f t="shared" si="3"/>
        <v>129.36109589273332</v>
      </c>
      <c r="AD37" s="9">
        <f t="shared" si="4"/>
        <v>5.0908622236829739</v>
      </c>
      <c r="AF37" s="2">
        <f t="shared" si="19"/>
        <v>31</v>
      </c>
      <c r="AG37" s="7">
        <f t="shared" si="5"/>
        <v>0</v>
      </c>
      <c r="AH37" s="8">
        <f t="shared" si="21"/>
        <v>3.2000000000000001E-2</v>
      </c>
      <c r="AI37" s="9">
        <f t="shared" si="15"/>
        <v>953.57902648475567</v>
      </c>
      <c r="AJ37" s="9">
        <f t="shared" si="16"/>
        <v>563.37139522078644</v>
      </c>
      <c r="AK37" s="9">
        <f t="shared" si="6"/>
        <v>390.20763126396923</v>
      </c>
      <c r="AL37" s="10">
        <f t="shared" si="7"/>
        <v>0.59079675577343749</v>
      </c>
      <c r="AM37" s="9">
        <f t="shared" si="17"/>
        <v>563.37139522078644</v>
      </c>
      <c r="AN37" s="9">
        <f t="shared" si="8"/>
        <v>118.30799299636514</v>
      </c>
      <c r="AO37" s="9">
        <f t="shared" si="9"/>
        <v>4.6558796379118954</v>
      </c>
    </row>
    <row r="38" spans="21:41" x14ac:dyDescent="0.25">
      <c r="U38" s="2">
        <f t="shared" si="18"/>
        <v>32</v>
      </c>
      <c r="V38" s="7">
        <f t="shared" si="0"/>
        <v>1</v>
      </c>
      <c r="W38" s="8">
        <f t="shared" si="20"/>
        <v>3.0666666666666668E-2</v>
      </c>
      <c r="X38" s="9">
        <f t="shared" si="11"/>
        <v>982.82211663028818</v>
      </c>
      <c r="Y38" s="9">
        <f t="shared" si="12"/>
        <v>634.89604523862135</v>
      </c>
      <c r="Z38" s="9">
        <f t="shared" si="1"/>
        <v>347.92607139166682</v>
      </c>
      <c r="AA38" s="10">
        <f t="shared" si="2"/>
        <v>0.64599283481270353</v>
      </c>
      <c r="AB38" s="9">
        <f t="shared" si="13"/>
        <v>634.89604523862135</v>
      </c>
      <c r="AC38" s="9">
        <f t="shared" si="3"/>
        <v>66.664084750055238</v>
      </c>
      <c r="AD38" s="9">
        <f t="shared" si="4"/>
        <v>2.3635054047489117</v>
      </c>
      <c r="AF38" s="2">
        <f t="shared" si="19"/>
        <v>32</v>
      </c>
      <c r="AG38" s="7">
        <f t="shared" si="5"/>
        <v>1</v>
      </c>
      <c r="AH38" s="8">
        <f t="shared" si="21"/>
        <v>3.0666666666666668E-2</v>
      </c>
      <c r="AI38" s="9">
        <f t="shared" si="15"/>
        <v>982.82211663028818</v>
      </c>
      <c r="AJ38" s="9">
        <f t="shared" si="16"/>
        <v>580.64811800755717</v>
      </c>
      <c r="AK38" s="9">
        <f t="shared" si="6"/>
        <v>402.17399862273101</v>
      </c>
      <c r="AL38" s="10">
        <f t="shared" si="7"/>
        <v>0.59079675577343738</v>
      </c>
      <c r="AM38" s="9">
        <f t="shared" si="17"/>
        <v>580.64811800755717</v>
      </c>
      <c r="AN38" s="9">
        <f t="shared" si="8"/>
        <v>60.968052390793503</v>
      </c>
      <c r="AO38" s="9">
        <f t="shared" si="9"/>
        <v>2.161558534598135</v>
      </c>
    </row>
    <row r="39" spans="21:41" x14ac:dyDescent="0.25">
      <c r="U39" s="2">
        <f t="shared" si="18"/>
        <v>33</v>
      </c>
      <c r="V39" s="7">
        <f t="shared" si="0"/>
        <v>0</v>
      </c>
      <c r="W39" s="8">
        <f t="shared" si="20"/>
        <v>2.9333333333333336E-2</v>
      </c>
      <c r="X39" s="9">
        <f t="shared" si="11"/>
        <v>1011.6515653847767</v>
      </c>
      <c r="Y39" s="9">
        <f t="shared" si="12"/>
        <v>656.65686971925538</v>
      </c>
      <c r="Z39" s="9">
        <f t="shared" si="1"/>
        <v>354.99469566552136</v>
      </c>
      <c r="AA39" s="10">
        <f t="shared" si="2"/>
        <v>0.64909390959079782</v>
      </c>
      <c r="AB39" s="9">
        <f t="shared" si="13"/>
        <v>656.65686971925538</v>
      </c>
      <c r="AC39" s="9">
        <f t="shared" si="3"/>
        <v>137.89794264104361</v>
      </c>
      <c r="AD39" s="9">
        <f t="shared" si="4"/>
        <v>4.4045291323886087</v>
      </c>
      <c r="AF39" s="2">
        <f t="shared" si="19"/>
        <v>33</v>
      </c>
      <c r="AG39" s="7">
        <f t="shared" si="5"/>
        <v>0</v>
      </c>
      <c r="AH39" s="8">
        <f t="shared" si="21"/>
        <v>2.9333333333333336E-2</v>
      </c>
      <c r="AI39" s="9">
        <f t="shared" si="15"/>
        <v>1011.6515653847767</v>
      </c>
      <c r="AJ39" s="9">
        <f t="shared" si="16"/>
        <v>609.19354992055651</v>
      </c>
      <c r="AK39" s="9">
        <f t="shared" si="6"/>
        <v>402.45801546422024</v>
      </c>
      <c r="AL39" s="10">
        <f t="shared" si="7"/>
        <v>0.60217724240742188</v>
      </c>
      <c r="AM39" s="9">
        <f t="shared" si="17"/>
        <v>609.19354992055651</v>
      </c>
      <c r="AN39" s="9">
        <f t="shared" si="8"/>
        <v>127.93064548331687</v>
      </c>
      <c r="AO39" s="9">
        <f t="shared" si="9"/>
        <v>4.0861686850782437</v>
      </c>
    </row>
    <row r="40" spans="21:41" x14ac:dyDescent="0.25">
      <c r="U40" s="2">
        <f t="shared" si="18"/>
        <v>34</v>
      </c>
      <c r="V40" s="7">
        <f t="shared" si="0"/>
        <v>1</v>
      </c>
      <c r="W40" s="8">
        <f t="shared" si="20"/>
        <v>2.8000000000000004E-2</v>
      </c>
      <c r="X40" s="9">
        <f t="shared" si="11"/>
        <v>1039.9778092155505</v>
      </c>
      <c r="Y40" s="9">
        <f t="shared" si="12"/>
        <v>675.04326207139457</v>
      </c>
      <c r="Z40" s="9">
        <f t="shared" si="1"/>
        <v>364.93454714415589</v>
      </c>
      <c r="AA40" s="10">
        <f t="shared" si="2"/>
        <v>0.64909390959079794</v>
      </c>
      <c r="AB40" s="9">
        <f t="shared" si="13"/>
        <v>675.04326207139457</v>
      </c>
      <c r="AC40" s="9">
        <f t="shared" si="3"/>
        <v>70.879542517496432</v>
      </c>
      <c r="AD40" s="9">
        <f t="shared" si="4"/>
        <v>2.0395747513943649</v>
      </c>
      <c r="AF40" s="2">
        <f t="shared" si="19"/>
        <v>34</v>
      </c>
      <c r="AG40" s="7">
        <f t="shared" si="5"/>
        <v>0</v>
      </c>
      <c r="AH40" s="8">
        <f t="shared" si="21"/>
        <v>2.8000000000000004E-2</v>
      </c>
      <c r="AI40" s="9">
        <f t="shared" si="15"/>
        <v>1039.9778092155505</v>
      </c>
      <c r="AJ40" s="9">
        <f t="shared" si="16"/>
        <v>626.25096931833207</v>
      </c>
      <c r="AK40" s="9">
        <f t="shared" si="6"/>
        <v>413.72683989721838</v>
      </c>
      <c r="AL40" s="10">
        <f t="shared" si="7"/>
        <v>0.60217724240742188</v>
      </c>
      <c r="AM40" s="9">
        <f t="shared" si="17"/>
        <v>626.25096931833207</v>
      </c>
      <c r="AN40" s="9">
        <f t="shared" si="8"/>
        <v>131.51270355684974</v>
      </c>
      <c r="AO40" s="9">
        <f t="shared" si="9"/>
        <v>3.7843075750094002</v>
      </c>
    </row>
    <row r="41" spans="21:41" x14ac:dyDescent="0.25">
      <c r="U41" s="2">
        <f t="shared" si="18"/>
        <v>35</v>
      </c>
      <c r="V41" s="7">
        <f t="shared" si="0"/>
        <v>0</v>
      </c>
      <c r="W41" s="8">
        <f t="shared" si="20"/>
        <v>2.6666666666666672E-2</v>
      </c>
      <c r="X41" s="9">
        <f t="shared" si="11"/>
        <v>1067.7105507946317</v>
      </c>
      <c r="Y41" s="9">
        <f t="shared" si="12"/>
        <v>695.85880844710005</v>
      </c>
      <c r="Z41" s="9">
        <f t="shared" si="1"/>
        <v>371.85174234753163</v>
      </c>
      <c r="AA41" s="10">
        <f t="shared" si="2"/>
        <v>0.6517298231521782</v>
      </c>
      <c r="AB41" s="9">
        <f t="shared" si="13"/>
        <v>695.85880844710005</v>
      </c>
      <c r="AC41" s="9">
        <f t="shared" si="3"/>
        <v>146.130349773891</v>
      </c>
      <c r="AD41" s="9">
        <f t="shared" si="4"/>
        <v>3.7882284929587677</v>
      </c>
      <c r="AF41" s="2">
        <f t="shared" si="19"/>
        <v>35</v>
      </c>
      <c r="AG41" s="7">
        <f t="shared" si="5"/>
        <v>0</v>
      </c>
      <c r="AH41" s="8">
        <f t="shared" si="21"/>
        <v>2.6666666666666672E-2</v>
      </c>
      <c r="AI41" s="9">
        <f t="shared" si="15"/>
        <v>1067.7105507946317</v>
      </c>
      <c r="AJ41" s="9">
        <f t="shared" si="16"/>
        <v>642.95099516682092</v>
      </c>
      <c r="AK41" s="9">
        <f t="shared" si="6"/>
        <v>424.75955562781076</v>
      </c>
      <c r="AL41" s="10">
        <f t="shared" si="7"/>
        <v>0.60217724240742199</v>
      </c>
      <c r="AM41" s="9">
        <f t="shared" si="17"/>
        <v>642.95099516682092</v>
      </c>
      <c r="AN41" s="9">
        <f t="shared" si="8"/>
        <v>135.01970898503239</v>
      </c>
      <c r="AO41" s="9">
        <f t="shared" si="9"/>
        <v>3.5002003997083935</v>
      </c>
    </row>
    <row r="42" spans="21:41" x14ac:dyDescent="0.25">
      <c r="U42" s="2">
        <f t="shared" si="18"/>
        <v>36</v>
      </c>
      <c r="V42" s="7">
        <f t="shared" si="0"/>
        <v>1</v>
      </c>
      <c r="W42" s="8">
        <f t="shared" si="20"/>
        <v>2.533333333333334E-2</v>
      </c>
      <c r="X42" s="9">
        <f t="shared" si="11"/>
        <v>1094.759218081429</v>
      </c>
      <c r="Y42" s="9">
        <f t="shared" si="12"/>
        <v>713.4872315944267</v>
      </c>
      <c r="Z42" s="9">
        <f t="shared" si="1"/>
        <v>381.27198648700232</v>
      </c>
      <c r="AA42" s="10">
        <f t="shared" si="2"/>
        <v>0.65172982315217831</v>
      </c>
      <c r="AB42" s="9">
        <f t="shared" si="13"/>
        <v>713.4872315944267</v>
      </c>
      <c r="AC42" s="9">
        <f t="shared" si="3"/>
        <v>74.916159317414795</v>
      </c>
      <c r="AD42" s="9">
        <f t="shared" si="4"/>
        <v>1.7496382649160918</v>
      </c>
      <c r="AF42" s="2">
        <f t="shared" si="19"/>
        <v>36</v>
      </c>
      <c r="AG42" s="7">
        <f t="shared" si="5"/>
        <v>1</v>
      </c>
      <c r="AH42" s="8">
        <f t="shared" si="21"/>
        <v>2.533333333333334E-2</v>
      </c>
      <c r="AI42" s="9">
        <f t="shared" si="15"/>
        <v>1094.759218081429</v>
      </c>
      <c r="AJ42" s="9">
        <f t="shared" si="16"/>
        <v>659.23908704438043</v>
      </c>
      <c r="AK42" s="9">
        <f t="shared" si="6"/>
        <v>435.5201310370486</v>
      </c>
      <c r="AL42" s="10">
        <f t="shared" si="7"/>
        <v>0.60217724240742199</v>
      </c>
      <c r="AM42" s="9">
        <f t="shared" si="17"/>
        <v>659.23908704438043</v>
      </c>
      <c r="AN42" s="9">
        <f t="shared" si="8"/>
        <v>69.220104139659938</v>
      </c>
      <c r="AO42" s="9">
        <f t="shared" si="9"/>
        <v>1.6166090734989518</v>
      </c>
    </row>
    <row r="43" spans="21:41" x14ac:dyDescent="0.25">
      <c r="U43" s="2">
        <f t="shared" si="18"/>
        <v>37</v>
      </c>
      <c r="V43" s="7">
        <f t="shared" si="0"/>
        <v>0</v>
      </c>
      <c r="W43" s="8">
        <f t="shared" si="20"/>
        <v>2.4000000000000007E-2</v>
      </c>
      <c r="X43" s="9">
        <f t="shared" si="11"/>
        <v>1121.0334393153832</v>
      </c>
      <c r="Y43" s="9">
        <f t="shared" si="12"/>
        <v>733.12263031132738</v>
      </c>
      <c r="Z43" s="9">
        <f t="shared" si="1"/>
        <v>387.91080900405586</v>
      </c>
      <c r="AA43" s="10">
        <f t="shared" si="2"/>
        <v>0.65397034967935164</v>
      </c>
      <c r="AB43" s="9">
        <f t="shared" si="13"/>
        <v>733.12263031132738</v>
      </c>
      <c r="AC43" s="9">
        <f t="shared" si="3"/>
        <v>153.95575236537874</v>
      </c>
      <c r="AD43" s="9">
        <f t="shared" si="4"/>
        <v>3.2392592328544443</v>
      </c>
      <c r="AF43" s="2">
        <f t="shared" si="19"/>
        <v>37</v>
      </c>
      <c r="AG43" s="7">
        <f t="shared" si="5"/>
        <v>0</v>
      </c>
      <c r="AH43" s="8">
        <f t="shared" si="21"/>
        <v>2.4000000000000007E-2</v>
      </c>
      <c r="AI43" s="9">
        <f t="shared" si="15"/>
        <v>1121.0334393153832</v>
      </c>
      <c r="AJ43" s="9">
        <f t="shared" si="16"/>
        <v>685.90504529496695</v>
      </c>
      <c r="AK43" s="9">
        <f t="shared" si="6"/>
        <v>435.12839402041629</v>
      </c>
      <c r="AL43" s="10">
        <f t="shared" si="7"/>
        <v>0.61185065604630862</v>
      </c>
      <c r="AM43" s="9">
        <f t="shared" si="17"/>
        <v>685.90504529496695</v>
      </c>
      <c r="AN43" s="9">
        <f t="shared" si="8"/>
        <v>144.04005951194304</v>
      </c>
      <c r="AO43" s="9">
        <f t="shared" si="9"/>
        <v>3.0306311099544816</v>
      </c>
    </row>
    <row r="44" spans="21:41" x14ac:dyDescent="0.25">
      <c r="U44" s="2">
        <f t="shared" si="18"/>
        <v>38</v>
      </c>
      <c r="V44" s="7">
        <f t="shared" si="0"/>
        <v>1</v>
      </c>
      <c r="W44" s="8">
        <f t="shared" si="20"/>
        <v>2.2666666666666668E-2</v>
      </c>
      <c r="X44" s="9">
        <f t="shared" si="11"/>
        <v>1146.4435306065318</v>
      </c>
      <c r="Y44" s="9">
        <f t="shared" si="12"/>
        <v>749.74007659838412</v>
      </c>
      <c r="Z44" s="9">
        <f t="shared" si="1"/>
        <v>396.70345400814767</v>
      </c>
      <c r="AA44" s="10">
        <f t="shared" si="2"/>
        <v>0.65397034967935164</v>
      </c>
      <c r="AB44" s="9">
        <f t="shared" si="13"/>
        <v>749.74007659838412</v>
      </c>
      <c r="AC44" s="9">
        <f t="shared" si="3"/>
        <v>78.722708042830334</v>
      </c>
      <c r="AD44" s="9">
        <f t="shared" si="4"/>
        <v>1.4921992982578731</v>
      </c>
      <c r="AF44" s="2">
        <f t="shared" si="19"/>
        <v>38</v>
      </c>
      <c r="AG44" s="7">
        <f t="shared" si="5"/>
        <v>0</v>
      </c>
      <c r="AH44" s="8">
        <f t="shared" si="21"/>
        <v>2.2666666666666668E-2</v>
      </c>
      <c r="AI44" s="9">
        <f t="shared" si="15"/>
        <v>1146.4435306065318</v>
      </c>
      <c r="AJ44" s="9">
        <f t="shared" si="16"/>
        <v>701.4522263216528</v>
      </c>
      <c r="AK44" s="9">
        <f t="shared" si="6"/>
        <v>444.99130428487899</v>
      </c>
      <c r="AL44" s="10">
        <f t="shared" si="7"/>
        <v>0.61185065604630862</v>
      </c>
      <c r="AM44" s="9">
        <f t="shared" si="17"/>
        <v>701.4522263216528</v>
      </c>
      <c r="AN44" s="9">
        <f t="shared" si="8"/>
        <v>147.30496752754709</v>
      </c>
      <c r="AO44" s="9">
        <f t="shared" si="9"/>
        <v>2.7921850586607659</v>
      </c>
    </row>
    <row r="45" spans="21:41" x14ac:dyDescent="0.25">
      <c r="U45" s="2">
        <f t="shared" si="18"/>
        <v>39</v>
      </c>
      <c r="V45" s="7">
        <f t="shared" si="0"/>
        <v>0</v>
      </c>
      <c r="W45" s="8">
        <f t="shared" si="20"/>
        <v>2.1333333333333336E-2</v>
      </c>
      <c r="X45" s="9">
        <f t="shared" si="11"/>
        <v>1170.9009925928046</v>
      </c>
      <c r="Y45" s="9">
        <f t="shared" si="12"/>
        <v>767.96445109022432</v>
      </c>
      <c r="Z45" s="9">
        <f t="shared" si="1"/>
        <v>402.93654150258033</v>
      </c>
      <c r="AA45" s="10">
        <f t="shared" si="2"/>
        <v>0.65587479722744879</v>
      </c>
      <c r="AB45" s="9">
        <f t="shared" si="13"/>
        <v>767.96445109022432</v>
      </c>
      <c r="AC45" s="9">
        <f t="shared" si="3"/>
        <v>161.27253472894711</v>
      </c>
      <c r="AD45" s="9">
        <f t="shared" si="4"/>
        <v>2.7540019228898127</v>
      </c>
      <c r="AF45" s="2">
        <f t="shared" si="19"/>
        <v>39</v>
      </c>
      <c r="AG45" s="7">
        <f t="shared" si="5"/>
        <v>0</v>
      </c>
      <c r="AH45" s="8">
        <f t="shared" si="21"/>
        <v>2.1333333333333336E-2</v>
      </c>
      <c r="AI45" s="9">
        <f t="shared" si="15"/>
        <v>1170.9009925928046</v>
      </c>
      <c r="AJ45" s="9">
        <f t="shared" si="16"/>
        <v>716.41654048318151</v>
      </c>
      <c r="AK45" s="9">
        <f t="shared" si="6"/>
        <v>454.48445210962313</v>
      </c>
      <c r="AL45" s="10">
        <f t="shared" si="7"/>
        <v>0.61185065604630862</v>
      </c>
      <c r="AM45" s="9">
        <f t="shared" si="17"/>
        <v>716.41654048318151</v>
      </c>
      <c r="AN45" s="9">
        <f t="shared" si="8"/>
        <v>150.44747350146812</v>
      </c>
      <c r="AO45" s="9">
        <f t="shared" si="9"/>
        <v>2.569145651572549</v>
      </c>
    </row>
    <row r="46" spans="21:41" x14ac:dyDescent="0.25">
      <c r="U46" s="2">
        <f t="shared" si="18"/>
        <v>40</v>
      </c>
      <c r="V46" s="7">
        <f t="shared" si="0"/>
        <v>1</v>
      </c>
      <c r="W46" s="8">
        <f>K4</f>
        <v>0.02</v>
      </c>
      <c r="X46" s="9">
        <f t="shared" si="11"/>
        <v>1194.3190124446608</v>
      </c>
      <c r="Y46" s="9">
        <f t="shared" si="12"/>
        <v>783.32374011202887</v>
      </c>
      <c r="Z46" s="9">
        <f t="shared" si="1"/>
        <v>410.99527233263188</v>
      </c>
      <c r="AA46" s="10">
        <f t="shared" si="2"/>
        <v>0.6558747972274489</v>
      </c>
      <c r="AB46" s="9">
        <f t="shared" si="13"/>
        <v>783.32374011202887</v>
      </c>
      <c r="AC46" s="9">
        <f t="shared" si="3"/>
        <v>82.248992711763023</v>
      </c>
      <c r="AD46" s="9">
        <f t="shared" si="4"/>
        <v>1.2653522348412651</v>
      </c>
      <c r="AF46" s="2">
        <f t="shared" si="19"/>
        <v>40</v>
      </c>
      <c r="AG46" s="7">
        <f t="shared" si="5"/>
        <v>1</v>
      </c>
      <c r="AH46" s="8">
        <f>K5</f>
        <v>0.02</v>
      </c>
      <c r="AI46" s="9">
        <f t="shared" si="15"/>
        <v>1194.3190124446608</v>
      </c>
      <c r="AJ46" s="9">
        <f t="shared" si="16"/>
        <v>730.74487129284512</v>
      </c>
      <c r="AK46" s="9">
        <f t="shared" si="6"/>
        <v>463.57414115181564</v>
      </c>
      <c r="AL46" s="10">
        <f t="shared" si="7"/>
        <v>0.61185065604630862</v>
      </c>
      <c r="AM46" s="9">
        <f t="shared" si="17"/>
        <v>730.74487129284512</v>
      </c>
      <c r="AN46" s="9">
        <f t="shared" si="8"/>
        <v>76.72821148574873</v>
      </c>
      <c r="AO46" s="9">
        <f t="shared" si="9"/>
        <v>1.1804182723441439</v>
      </c>
    </row>
  </sheetData>
  <dataValidations count="2">
    <dataValidation type="whole" allowBlank="1" showInputMessage="1" showErrorMessage="1" sqref="F4:F25">
      <formula1>1</formula1>
      <formula2>40</formula2>
    </dataValidation>
    <dataValidation type="whole" allowBlank="1" showInputMessage="1" showErrorMessage="1" sqref="L4:L25">
      <formula1>1</formula1>
      <formula2>100</formula2>
    </dataValidation>
  </dataValidations>
  <pageMargins left="0.75" right="0.75" top="1" bottom="1" header="0.5" footer="0.5"/>
  <pageSetup paperSize="132" orientation="portrait" horizontalDpi="300" verticalDpi="300"/>
  <legacyDrawing r:id="rId1"/>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1:AS22"/>
  <sheetViews>
    <sheetView workbookViewId="0">
      <selection activeCell="F8" sqref="F8"/>
    </sheetView>
  </sheetViews>
  <sheetFormatPr defaultColWidth="11" defaultRowHeight="15.75" x14ac:dyDescent="0.25"/>
  <cols>
    <col min="3" max="3" width="58.875" bestFit="1" customWidth="1"/>
    <col min="6" max="6" width="55.75" bestFit="1" customWidth="1"/>
  </cols>
  <sheetData>
    <row r="1" spans="2:8" x14ac:dyDescent="0.25">
      <c r="F1" s="32" t="s">
        <v>39</v>
      </c>
    </row>
    <row r="2" spans="2:8" x14ac:dyDescent="0.25">
      <c r="B2" t="s">
        <v>35</v>
      </c>
      <c r="C2" t="s">
        <v>10</v>
      </c>
      <c r="D2">
        <f>IF(ISERROR(FIND("(",C2,1)),0,FIND("(",C2,1))</f>
        <v>14</v>
      </c>
      <c r="E2" t="str">
        <f>UPPER(IF(D2=0,C2,MID(C2,1,D2-2)))</f>
        <v>TOTAL MARKET</v>
      </c>
      <c r="F2" s="31" t="str">
        <f>SUBSTITUTE(E2," ","_")&amp;"_RNG"</f>
        <v>TOTAL_MARKET_RNG</v>
      </c>
      <c r="G2" t="s">
        <v>27</v>
      </c>
      <c r="H2" t="str">
        <f>E2</f>
        <v>TOTAL MARKET</v>
      </c>
    </row>
    <row r="3" spans="2:8" x14ac:dyDescent="0.25">
      <c r="B3" t="s">
        <v>35</v>
      </c>
      <c r="C3" t="s">
        <v>12</v>
      </c>
      <c r="D3">
        <f t="shared" ref="D3:D19" si="0">IF(ISERROR(FIND("(",C3,1)),0,FIND("(",C3,1))</f>
        <v>30</v>
      </c>
      <c r="E3" t="str">
        <f t="shared" ref="E3:E19" si="1">UPPER(IF(D3=0,C3,MID(C3,1,D3-2)))</f>
        <v>ANNUAL GROWTH RATE IN MARKET</v>
      </c>
      <c r="F3" s="31" t="str">
        <f t="shared" ref="F3:F12" si="2">SUBSTITUTE(E3," ","_")&amp;"_RNG"</f>
        <v>ANNUAL_GROWTH_RATE_IN_MARKET_RNG</v>
      </c>
      <c r="G3" t="s">
        <v>27</v>
      </c>
      <c r="H3" t="str">
        <f>H2&amp;","&amp;E3</f>
        <v>TOTAL MARKET,ANNUAL GROWTH RATE IN MARKET</v>
      </c>
    </row>
    <row r="4" spans="2:8" x14ac:dyDescent="0.25">
      <c r="B4" t="s">
        <v>35</v>
      </c>
      <c r="C4" t="s">
        <v>13</v>
      </c>
      <c r="D4">
        <f t="shared" si="0"/>
        <v>14</v>
      </c>
      <c r="E4" t="str">
        <f t="shared" si="1"/>
        <v>MARKET SHARE</v>
      </c>
      <c r="F4" s="31" t="str">
        <f t="shared" si="2"/>
        <v>MARKET_SHARE_RNG</v>
      </c>
      <c r="G4" t="s">
        <v>27</v>
      </c>
      <c r="H4" t="str">
        <f t="shared" ref="H4:H19" si="3">H3&amp;","&amp;E4</f>
        <v>TOTAL MARKET,ANNUAL GROWTH RATE IN MARKET,MARKET SHARE</v>
      </c>
    </row>
    <row r="5" spans="2:8" x14ac:dyDescent="0.25">
      <c r="B5" t="s">
        <v>35</v>
      </c>
      <c r="C5" t="s">
        <v>14</v>
      </c>
      <c r="D5">
        <f t="shared" si="0"/>
        <v>36</v>
      </c>
      <c r="E5" t="str">
        <f t="shared" si="1"/>
        <v>CURRENT AFTER-TAX OPERATING MARGIN</v>
      </c>
      <c r="F5" s="31" t="str">
        <f t="shared" si="2"/>
        <v>CURRENT_AFTER-TAX_OPERATING_MARGIN_RNG</v>
      </c>
      <c r="G5" t="s">
        <v>37</v>
      </c>
      <c r="H5" t="str">
        <f t="shared" si="3"/>
        <v>TOTAL MARKET,ANNUAL GROWTH RATE IN MARKET,MARKET SHARE,CURRENT AFTER-TAX OPERATING MARGIN</v>
      </c>
    </row>
    <row r="6" spans="2:8" x14ac:dyDescent="0.25">
      <c r="B6" t="s">
        <v>35</v>
      </c>
      <c r="C6" t="s">
        <v>15</v>
      </c>
      <c r="D6">
        <f t="shared" si="0"/>
        <v>0</v>
      </c>
      <c r="E6" t="str">
        <f t="shared" si="1"/>
        <v>PRODUCT LIFE CYCLE</v>
      </c>
      <c r="F6" s="31" t="str">
        <f t="shared" si="2"/>
        <v>PRODUCT_LIFE_CYCLE_RNG</v>
      </c>
      <c r="G6" t="s">
        <v>27</v>
      </c>
      <c r="H6" t="str">
        <f t="shared" si="3"/>
        <v>TOTAL MARKET,ANNUAL GROWTH RATE IN MARKET,MARKET SHARE,CURRENT AFTER-TAX OPERATING MARGIN,PRODUCT LIFE CYCLE</v>
      </c>
    </row>
    <row r="7" spans="2:8" x14ac:dyDescent="0.25">
      <c r="B7" t="s">
        <v>35</v>
      </c>
      <c r="C7" t="s">
        <v>33</v>
      </c>
      <c r="D7">
        <f t="shared" si="0"/>
        <v>0</v>
      </c>
      <c r="E7" t="str">
        <f t="shared" si="1"/>
        <v>PERCENT OF OWN CUSTOMERS LOST TO COMPETITORS</v>
      </c>
      <c r="F7" s="31" t="str">
        <f t="shared" si="2"/>
        <v>PERCENT_OF_OWN_CUSTOMERS_LOST_TO_COMPETITORS_RNG</v>
      </c>
      <c r="G7" t="s">
        <v>27</v>
      </c>
      <c r="H7" t="str">
        <f t="shared" si="3"/>
        <v>TOTAL MARKET,ANNUAL GROWTH RATE IN MARKET,MARKET SHARE,CURRENT AFTER-TAX OPERATING MARGIN,PRODUCT LIFE CYCLE,PERCENT OF OWN CUSTOMERS LOST TO COMPETITORS</v>
      </c>
    </row>
    <row r="8" spans="2:8" x14ac:dyDescent="0.25">
      <c r="B8" t="s">
        <v>35</v>
      </c>
      <c r="C8" t="s">
        <v>34</v>
      </c>
      <c r="D8">
        <f t="shared" si="0"/>
        <v>0</v>
      </c>
      <c r="E8" t="str">
        <f t="shared" si="1"/>
        <v>PERTCENT OF COMPETITORS CUSTOMERS GAINED</v>
      </c>
      <c r="F8" s="31" t="str">
        <f t="shared" si="2"/>
        <v>PERTCENT_OF_COMPETITORS_CUSTOMERS_GAINED_RNG</v>
      </c>
      <c r="G8" t="s">
        <v>27</v>
      </c>
      <c r="H8" t="str">
        <f t="shared" si="3"/>
        <v>TOTAL MARKET,ANNUAL GROWTH RATE IN MARKET,MARKET SHARE,CURRENT AFTER-TAX OPERATING MARGIN,PRODUCT LIFE CYCLE,PERCENT OF OWN CUSTOMERS LOST TO COMPETITORS,PERTCENT OF COMPETITORS CUSTOMERS GAINED</v>
      </c>
    </row>
    <row r="9" spans="2:8" x14ac:dyDescent="0.25">
      <c r="B9" t="s">
        <v>35</v>
      </c>
      <c r="C9" t="s">
        <v>18</v>
      </c>
      <c r="D9">
        <f t="shared" si="0"/>
        <v>20</v>
      </c>
      <c r="E9" t="str">
        <f t="shared" si="1"/>
        <v>COST OF INNOVATION</v>
      </c>
      <c r="F9" s="31" t="str">
        <f t="shared" si="2"/>
        <v>COST_OF_INNOVATION_RNG</v>
      </c>
      <c r="G9" t="s">
        <v>27</v>
      </c>
      <c r="H9" t="str">
        <f t="shared" si="3"/>
        <v>TOTAL MARKET,ANNUAL GROWTH RATE IN MARKET,MARKET SHARE,CURRENT AFTER-TAX OPERATING MARGIN,PRODUCT LIFE CYCLE,PERCENT OF OWN CUSTOMERS LOST TO COMPETITORS,PERTCENT OF COMPETITORS CUSTOMERS GAINED,COST OF INNOVATION</v>
      </c>
    </row>
    <row r="10" spans="2:8" x14ac:dyDescent="0.25">
      <c r="B10" t="s">
        <v>35</v>
      </c>
      <c r="C10" t="s">
        <v>19</v>
      </c>
      <c r="D10">
        <f t="shared" si="0"/>
        <v>0</v>
      </c>
      <c r="E10" t="str">
        <f t="shared" si="1"/>
        <v>COST OF CAPITAL</v>
      </c>
      <c r="F10" s="31" t="str">
        <f t="shared" si="2"/>
        <v>COST_OF_CAPITAL_RNG</v>
      </c>
      <c r="G10" t="s">
        <v>27</v>
      </c>
      <c r="H10" t="str">
        <f t="shared" si="3"/>
        <v>TOTAL MARKET,ANNUAL GROWTH RATE IN MARKET,MARKET SHARE,CURRENT AFTER-TAX OPERATING MARGIN,PRODUCT LIFE CYCLE,PERCENT OF OWN CUSTOMERS LOST TO COMPETITORS,PERTCENT OF COMPETITORS CUSTOMERS GAINED,COST OF INNOVATION,COST OF CAPITAL</v>
      </c>
    </row>
    <row r="11" spans="2:8" x14ac:dyDescent="0.25">
      <c r="B11" t="s">
        <v>35</v>
      </c>
      <c r="C11" t="s">
        <v>20</v>
      </c>
      <c r="D11">
        <f t="shared" si="0"/>
        <v>0</v>
      </c>
      <c r="E11" t="str">
        <f t="shared" si="1"/>
        <v>RISKFREE RATE</v>
      </c>
      <c r="F11" s="31" t="str">
        <f t="shared" si="2"/>
        <v>RISKFREE_RATE_RNG</v>
      </c>
      <c r="G11" t="s">
        <v>27</v>
      </c>
      <c r="H11" t="str">
        <f t="shared" si="3"/>
        <v>TOTAL MARKET,ANNUAL GROWTH RATE IN MARKET,MARKET SHARE,CURRENT AFTER-TAX OPERATING MARGIN,PRODUCT LIFE CYCLE,PERCENT OF OWN CUSTOMERS LOST TO COMPETITORS,PERTCENT OF COMPETITORS CUSTOMERS GAINED,COST OF INNOVATION,COST OF CAPITAL,RISKFREE RATE</v>
      </c>
    </row>
    <row r="12" spans="2:8" x14ac:dyDescent="0.25">
      <c r="B12" t="s">
        <v>35</v>
      </c>
      <c r="C12" t="s">
        <v>38</v>
      </c>
      <c r="D12">
        <f t="shared" si="0"/>
        <v>0</v>
      </c>
      <c r="E12" t="str">
        <f t="shared" si="1"/>
        <v>YEARS</v>
      </c>
      <c r="F12" s="31" t="str">
        <f t="shared" si="2"/>
        <v>YEARS_RNG</v>
      </c>
      <c r="H12" t="str">
        <f t="shared" si="3"/>
        <v>TOTAL MARKET,ANNUAL GROWTH RATE IN MARKET,MARKET SHARE,CURRENT AFTER-TAX OPERATING MARGIN,PRODUCT LIFE CYCLE,PERCENT OF OWN CUSTOMERS LOST TO COMPETITORS,PERTCENT OF COMPETITORS CUSTOMERS GAINED,COST OF INNOVATION,COST OF CAPITAL,RISKFREE RATE,YEARS</v>
      </c>
    </row>
    <row r="13" spans="2:8" x14ac:dyDescent="0.25">
      <c r="B13" t="s">
        <v>36</v>
      </c>
      <c r="C13" t="s">
        <v>22</v>
      </c>
      <c r="D13">
        <f t="shared" si="0"/>
        <v>0</v>
      </c>
      <c r="E13" t="str">
        <f t="shared" si="1"/>
        <v>BASE YEAR REVENUES</v>
      </c>
      <c r="F13" t="s">
        <v>27</v>
      </c>
      <c r="H13" t="str">
        <f t="shared" si="3"/>
        <v>TOTAL MARKET,ANNUAL GROWTH RATE IN MARKET,MARKET SHARE,CURRENT AFTER-TAX OPERATING MARGIN,PRODUCT LIFE CYCLE,PERCENT OF OWN CUSTOMERS LOST TO COMPETITORS,PERTCENT OF COMPETITORS CUSTOMERS GAINED,COST OF INNOVATION,COST OF CAPITAL,RISKFREE RATE,YEARS,BASE YEAR REVENUES</v>
      </c>
    </row>
    <row r="14" spans="2:8" x14ac:dyDescent="0.25">
      <c r="B14" t="s">
        <v>36</v>
      </c>
      <c r="C14" t="s">
        <v>23</v>
      </c>
      <c r="D14">
        <f t="shared" si="0"/>
        <v>0</v>
      </c>
      <c r="E14" t="str">
        <f t="shared" si="1"/>
        <v>BASE YEAR AFTER-TAX OPERATING INCOME</v>
      </c>
      <c r="F14" t="s">
        <v>27</v>
      </c>
      <c r="H14" t="str">
        <f t="shared" si="3"/>
        <v>TOTAL MARKET,ANNUAL GROWTH RATE IN MARKET,MARKET SHARE,CURRENT AFTER-TAX OPERATING MARGIN,PRODUCT LIFE CYCLE,PERCENT OF OWN CUSTOMERS LOST TO COMPETITORS,PERTCENT OF COMPETITORS CUSTOMERS GAINED,COST OF INNOVATION,COST OF CAPITAL,RISKFREE RATE,YEARS,BASE YEAR REVENUES,BASE YEAR AFTER-TAX OPERATING INCOME</v>
      </c>
    </row>
    <row r="15" spans="2:8" x14ac:dyDescent="0.25">
      <c r="B15" t="s">
        <v>36</v>
      </c>
      <c r="C15" t="s">
        <v>31</v>
      </c>
      <c r="D15">
        <f t="shared" si="0"/>
        <v>0</v>
      </c>
      <c r="E15" t="str">
        <f t="shared" si="1"/>
        <v>REVENUES IN YEAR T</v>
      </c>
      <c r="F15" t="s">
        <v>27</v>
      </c>
      <c r="H15" t="str">
        <f t="shared" si="3"/>
        <v>TOTAL MARKET,ANNUAL GROWTH RATE IN MARKET,MARKET SHARE,CURRENT AFTER-TAX OPERATING MARGIN,PRODUCT LIFE CYCLE,PERCENT OF OWN CUSTOMERS LOST TO COMPETITORS,PERTCENT OF COMPETITORS CUSTOMERS GAINED,COST OF INNOVATION,COST OF CAPITAL,RISKFREE RATE,YEARS,BASE YEAR REVENUES,BASE YEAR AFTER-TAX OPERATING INCOME,REVENUES IN YEAR T</v>
      </c>
    </row>
    <row r="16" spans="2:8" x14ac:dyDescent="0.25">
      <c r="B16" t="s">
        <v>36</v>
      </c>
      <c r="C16" t="s">
        <v>32</v>
      </c>
      <c r="D16">
        <f t="shared" si="0"/>
        <v>0</v>
      </c>
      <c r="E16" t="str">
        <f t="shared" si="1"/>
        <v>MARKET SHARE IN YEAR T</v>
      </c>
      <c r="F16" t="s">
        <v>27</v>
      </c>
      <c r="H16" t="str">
        <f t="shared" si="3"/>
        <v>TOTAL MARKET,ANNUAL GROWTH RATE IN MARKET,MARKET SHARE,CURRENT AFTER-TAX OPERATING MARGIN,PRODUCT LIFE CYCLE,PERCENT OF OWN CUSTOMERS LOST TO COMPETITORS,PERTCENT OF COMPETITORS CUSTOMERS GAINED,COST OF INNOVATION,COST OF CAPITAL,RISKFREE RATE,YEARS,BASE YEAR REVENUES,BASE YEAR AFTER-TAX OPERATING INCOME,REVENUES IN YEAR T,MARKET SHARE IN YEAR T</v>
      </c>
    </row>
    <row r="17" spans="2:45" x14ac:dyDescent="0.25">
      <c r="B17" t="s">
        <v>36</v>
      </c>
      <c r="C17" t="s">
        <v>24</v>
      </c>
      <c r="D17">
        <f t="shared" si="0"/>
        <v>0</v>
      </c>
      <c r="E17" t="str">
        <f t="shared" si="1"/>
        <v>VALUE OF IPHONE FRANCHISE</v>
      </c>
      <c r="F17" t="s">
        <v>27</v>
      </c>
      <c r="H17" t="str">
        <f t="shared" si="3"/>
        <v>TOTAL MARKET,ANNUAL GROWTH RATE IN MARKET,MARKET SHARE,CURRENT AFTER-TAX OPERATING MARGIN,PRODUCT LIFE CYCLE,PERCENT OF OWN CUSTOMERS LOST TO COMPETITORS,PERTCENT OF COMPETITORS CUSTOMERS GAINED,COST OF INNOVATION,COST OF CAPITAL,RISKFREE RATE,YEARS,BASE YEAR REVENUES,BASE YEAR AFTER-TAX OPERATING INCOME,REVENUES IN YEAR T,MARKET SHARE IN YEAR T,VALUE OF IPHONE FRANCHISE</v>
      </c>
    </row>
    <row r="18" spans="2:45" x14ac:dyDescent="0.25">
      <c r="B18" t="s">
        <v>36</v>
      </c>
      <c r="C18" t="s">
        <v>25</v>
      </c>
      <c r="D18">
        <f t="shared" si="0"/>
        <v>0</v>
      </c>
      <c r="E18" t="str">
        <f t="shared" si="1"/>
        <v>EV/SALES</v>
      </c>
      <c r="F18" t="s">
        <v>27</v>
      </c>
      <c r="H18" s="30" t="str">
        <f t="shared" si="3"/>
        <v>TOTAL MARKET,ANNUAL GROWTH RATE IN MARKET,MARKET SHARE,CURRENT AFTER-TAX OPERATING MARGIN,PRODUCT LIFE CYCLE,PERCENT OF OWN CUSTOMERS LOST TO COMPETITORS,PERTCENT OF COMPETITORS CUSTOMERS GAINED,COST OF INNOVATION,COST OF CAPITAL,RISKFREE RATE,YEARS,BASE YEAR REVENUES,BASE YEAR AFTER-TAX OPERATING INCOME,REVENUES IN YEAR T,MARKET SHARE IN YEAR T,VALUE OF IPHONE FRANCHISE,EV/SALES</v>
      </c>
    </row>
    <row r="19" spans="2:45" x14ac:dyDescent="0.25">
      <c r="B19" t="s">
        <v>36</v>
      </c>
      <c r="C19" t="s">
        <v>26</v>
      </c>
      <c r="D19">
        <f t="shared" si="0"/>
        <v>0</v>
      </c>
      <c r="E19" t="str">
        <f t="shared" si="1"/>
        <v>EV/AFTER-TAX OPERATING INCOME</v>
      </c>
      <c r="F19" t="s">
        <v>27</v>
      </c>
      <c r="H19" s="28" t="str">
        <f t="shared" si="3"/>
        <v>TOTAL MARKET,ANNUAL GROWTH RATE IN MARKET,MARKET SHARE,CURRENT AFTER-TAX OPERATING MARGIN,PRODUCT LIFE CYCLE,PERCENT OF OWN CUSTOMERS LOST TO COMPETITORS,PERTCENT OF COMPETITORS CUSTOMERS GAINED,COST OF INNOVATION,COST OF CAPITAL,RISKFREE RATE,YEARS,BASE YEAR REVENUES,BASE YEAR AFTER-TAX OPERATING INCOME,REVENUES IN YEAR T,MARKET SHARE IN YEAR T,VALUE OF IPHONE FRANCHISE,EV/SALES,EV/AFTER-TAX OPERATING INCOME</v>
      </c>
      <c r="I19" s="28"/>
      <c r="J19" s="28"/>
      <c r="K19" s="28"/>
      <c r="L19" s="28"/>
      <c r="M19" s="28"/>
      <c r="N19" s="28"/>
      <c r="O19" s="28"/>
      <c r="P19" s="28"/>
      <c r="Q19" s="28"/>
      <c r="R19" s="28"/>
      <c r="S19" s="28"/>
      <c r="T19" s="28"/>
      <c r="U19" s="28"/>
      <c r="V19" s="28"/>
      <c r="W19" s="28"/>
      <c r="X19" s="28"/>
      <c r="Y19" s="28"/>
      <c r="Z19" s="28"/>
      <c r="AA19" s="28"/>
      <c r="AB19" s="28"/>
      <c r="AC19" s="28"/>
      <c r="AD19" s="28"/>
      <c r="AE19" s="28"/>
      <c r="AF19" s="28"/>
      <c r="AG19" s="28"/>
      <c r="AH19" s="28"/>
      <c r="AI19" s="28"/>
      <c r="AJ19" s="28"/>
      <c r="AK19" s="28"/>
      <c r="AL19" s="28"/>
      <c r="AM19" s="28"/>
      <c r="AN19" s="28"/>
      <c r="AO19" s="28"/>
      <c r="AP19" s="28"/>
      <c r="AQ19" s="28"/>
      <c r="AR19" s="28"/>
      <c r="AS19" s="28"/>
    </row>
    <row r="22" spans="2:45" x14ac:dyDescent="0.25">
      <c r="H22" t="str">
        <f>"HEADINGS_STR =" &amp;""""&amp;H19&amp;""""</f>
        <v>HEADINGS_STR ="TOTAL MARKET,ANNUAL GROWTH RATE IN MARKET,MARKET SHARE,CURRENT AFTER-TAX OPERATING MARGIN,PRODUCT LIFE CYCLE,PERCENT OF OWN CUSTOMERS LOST TO COMPETITORS,PERTCENT OF COMPETITORS CUSTOMERS GAINED,COST OF INNOVATION,COST OF CAPITAL,RISKFREE RATE,YEARS,BASE YEAR REVENUES,BASE YEAR AFTER-TAX OPERATING INCOME,REVENUES IN YEAR T,MARKET SHARE IN YEAR T,VALUE OF IPHONE FRANCHISE,EV/SALES,EV/AFTER-TAX OPERATING INCOME"</v>
      </c>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Valuation</vt:lpstr>
      <vt:lpstr>Inputs - Output Strings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dcterms:created xsi:type="dcterms:W3CDTF">2013-01-22T08:21:25Z</dcterms:created>
  <dcterms:modified xsi:type="dcterms:W3CDTF">2013-02-02T00:21:42Z</dcterms:modified>
</cp:coreProperties>
</file>