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3" codeName="{A63ED3A1-9429-3D75-F2AA-CA7E51A8F3A1}"/>
  <workbookPr updateLinks="always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co/Dropbox/RHAPSODY/4_FIXED_INCOME/Part2/todo2/Tests/"/>
    </mc:Choice>
  </mc:AlternateContent>
  <xr:revisionPtr revIDLastSave="0" documentId="13_ncr:1_{5037E5C3-40AD-1F43-9BEB-E849A9D6F380}" xr6:coauthVersionLast="47" xr6:coauthVersionMax="47" xr10:uidLastSave="{00000000-0000-0000-0000-000000000000}"/>
  <bookViews>
    <workbookView xWindow="120" yWindow="500" windowWidth="25440" windowHeight="16000" xr2:uid="{00000000-000D-0000-FFFF-FFFF00000000}"/>
  </bookViews>
  <sheets>
    <sheet name="CONVEX" sheetId="2" r:id="rId1"/>
  </sheets>
  <functionGroups builtInGroupCount="19"/>
  <externalReferences>
    <externalReference r:id="rId2"/>
  </externalReferences>
  <definedNames>
    <definedName name="_Table1_Out" hidden="1">[1]mape!#REF!</definedName>
    <definedName name="anscount" hidden="1">1</definedName>
    <definedName name="CONVEX">CONVEX!$C$8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" i="2" l="1"/>
  <c r="C10" i="2" s="1"/>
</calcChain>
</file>

<file path=xl/sharedStrings.xml><?xml version="1.0" encoding="utf-8"?>
<sst xmlns="http://schemas.openxmlformats.org/spreadsheetml/2006/main" count="21" uniqueCount="20">
  <si>
    <t>SETTLEMENT</t>
  </si>
  <si>
    <t>FREQUENCY</t>
  </si>
  <si>
    <t>COUNT_BASIS</t>
  </si>
  <si>
    <t>DELTA_YIELD</t>
  </si>
  <si>
    <t>GUESS_YIELD</t>
  </si>
  <si>
    <t>COUPON</t>
  </si>
  <si>
    <t>MATURITY</t>
  </si>
  <si>
    <t>CLEAN_PRICE</t>
  </si>
  <si>
    <t>MIN_YIELD</t>
  </si>
  <si>
    <t>MAX_YIELD</t>
  </si>
  <si>
    <t>NEW YIELD</t>
  </si>
  <si>
    <t>ESTIMATED CLEAN PRICE</t>
  </si>
  <si>
    <t>DURATION PREDICTED PRICE CHANGE</t>
  </si>
  <si>
    <t>DURATION PREDICTED PRICE</t>
  </si>
  <si>
    <t>ERROR</t>
  </si>
  <si>
    <t>CONVEXITY ADJUSTMENT</t>
  </si>
  <si>
    <t>CONVEXITY ADJUSTED PREDICTED PRICE CHANGE</t>
  </si>
  <si>
    <t>CONVEXITY ADJ. PREDICTED PRICE</t>
  </si>
  <si>
    <t>REDEMPTION</t>
  </si>
  <si>
    <t>RNFC: Yield Sensitivity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</si>
</sst>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_-* #,##0.00_-;\-* #,##0.00_-;_-* &quot;-&quot;??_-;_-@_-"/>
    <numFmt numFmtId="165" formatCode="0.0%"/>
    <numFmt numFmtId="166" formatCode="_-* #,##0.0000_-;\-* #,##0.0000_-;_-* &quot;-&quot;??_-;_-@_-"/>
    <numFmt numFmtId="167" formatCode="0.0"/>
    <numFmt numFmtId="168" formatCode="0.0000%"/>
    <numFmt numFmtId="169" formatCode="General_)"/>
  </numFmts>
  <fonts count="14">
    <font>
      <sz val="10"/>
      <name val="Arial"/>
    </font>
    <font>
      <sz val="10"/>
      <name val="Arial"/>
      <family val="2"/>
    </font>
    <font>
      <sz val="10"/>
      <color indexed="12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0"/>
      <color indexed="8"/>
      <name val="Courier New"/>
      <family val="3"/>
    </font>
    <font>
      <sz val="10"/>
      <name val="Courier"/>
      <family val="3"/>
    </font>
    <font>
      <sz val="10"/>
      <color indexed="12"/>
      <name val="Helv"/>
    </font>
    <font>
      <b/>
      <sz val="18"/>
      <name val="Arial"/>
      <family val="2"/>
    </font>
    <font>
      <b/>
      <sz val="12"/>
      <name val="Arial"/>
      <family val="2"/>
    </font>
    <font>
      <sz val="10"/>
      <color indexed="10"/>
      <name val="Courier"/>
      <family val="3"/>
    </font>
    <font>
      <b/>
      <sz val="18"/>
      <name val="Courier New"/>
      <family val="3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7">
    <xf numFmtId="0" fontId="0" fillId="0" borderId="0"/>
    <xf numFmtId="164" fontId="1" fillId="0" borderId="0" applyFont="0" applyFill="0" applyBorder="0" applyAlignment="0" applyProtection="0"/>
    <xf numFmtId="169" fontId="7" fillId="0" borderId="0"/>
    <xf numFmtId="169" fontId="7" fillId="0" borderId="0"/>
    <xf numFmtId="3" fontId="1" fillId="0" borderId="0" applyFont="0" applyFill="0" applyBorder="0" applyAlignment="0" applyProtection="0"/>
    <xf numFmtId="169" fontId="7" fillId="0" borderId="0"/>
    <xf numFmtId="169" fontId="7" fillId="0" borderId="0"/>
    <xf numFmtId="169" fontId="7" fillId="0" borderId="0"/>
    <xf numFmtId="169" fontId="7" fillId="0" borderId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9" fontId="1" fillId="0" borderId="0" applyFont="0" applyFill="0" applyBorder="0" applyAlignment="0" applyProtection="0"/>
    <xf numFmtId="167" fontId="10" fillId="0" borderId="0">
      <alignment horizontal="center"/>
    </xf>
    <xf numFmtId="0" fontId="6" fillId="0" borderId="0">
      <alignment vertical="center"/>
    </xf>
    <xf numFmtId="0" fontId="1" fillId="0" borderId="1" applyNumberFormat="0" applyFont="0" applyFill="0" applyAlignment="0" applyProtection="0"/>
    <xf numFmtId="2" fontId="1" fillId="0" borderId="0" applyBorder="0">
      <alignment horizontal="center"/>
    </xf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15">
    <xf numFmtId="0" fontId="0" fillId="0" borderId="0" xfId="0"/>
    <xf numFmtId="0" fontId="3" fillId="0" borderId="0" xfId="0" applyFont="1"/>
    <xf numFmtId="14" fontId="2" fillId="0" borderId="2" xfId="0" applyNumberFormat="1" applyFont="1" applyBorder="1" applyAlignment="1">
      <alignment horizontal="center"/>
    </xf>
    <xf numFmtId="166" fontId="3" fillId="0" borderId="0" xfId="1" applyNumberFormat="1" applyFont="1"/>
    <xf numFmtId="165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left" indent="1"/>
    </xf>
    <xf numFmtId="2" fontId="3" fillId="0" borderId="0" xfId="0" applyNumberFormat="1" applyFont="1"/>
    <xf numFmtId="167" fontId="2" fillId="0" borderId="2" xfId="1" applyNumberFormat="1" applyFont="1" applyBorder="1" applyAlignment="1">
      <alignment horizontal="center"/>
    </xf>
    <xf numFmtId="168" fontId="3" fillId="0" borderId="0" xfId="14" applyNumberFormat="1" applyFont="1"/>
    <xf numFmtId="168" fontId="3" fillId="0" borderId="0" xfId="14" applyNumberFormat="1" applyFont="1" applyAlignment="1">
      <alignment horizontal="center"/>
    </xf>
    <xf numFmtId="0" fontId="4" fillId="0" borderId="0" xfId="0" applyFont="1" applyAlignment="1">
      <alignment horizontal="left" indent="1"/>
    </xf>
    <xf numFmtId="0" fontId="5" fillId="0" borderId="0" xfId="0" applyFont="1" applyFill="1" applyAlignment="1">
      <alignment horizontal="left" vertical="center"/>
    </xf>
    <xf numFmtId="0" fontId="11" fillId="0" borderId="0" xfId="0" applyFont="1" applyFill="1" applyBorder="1" applyAlignment="1"/>
  </cellXfs>
  <cellStyles count="27">
    <cellStyle name="Comma" xfId="1" builtinId="3"/>
    <cellStyle name="Comma  - Style1" xfId="2" xr:uid="{00000000-0005-0000-0000-000001000000}"/>
    <cellStyle name="Comma  - Style2" xfId="3" xr:uid="{00000000-0005-0000-0000-000002000000}"/>
    <cellStyle name="Comma0" xfId="4" xr:uid="{00000000-0005-0000-0000-000003000000}"/>
    <cellStyle name="Curren - Style5" xfId="5" xr:uid="{00000000-0005-0000-0000-000004000000}"/>
    <cellStyle name="Curren - Style6" xfId="6" xr:uid="{00000000-0005-0000-0000-000005000000}"/>
    <cellStyle name="Curren - Style7" xfId="7" xr:uid="{00000000-0005-0000-0000-000006000000}"/>
    <cellStyle name="Curren - Style8" xfId="8" xr:uid="{00000000-0005-0000-0000-000007000000}"/>
    <cellStyle name="Currency0" xfId="9" xr:uid="{00000000-0005-0000-0000-000008000000}"/>
    <cellStyle name="Date" xfId="10" xr:uid="{00000000-0005-0000-0000-000009000000}"/>
    <cellStyle name="Fixed" xfId="11" xr:uid="{00000000-0005-0000-0000-00000A000000}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eading 1" xfId="12" builtinId="16" customBuiltin="1"/>
    <cellStyle name="Heading 2" xfId="13" builtinId="17" customBuilti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  <cellStyle name="Percent" xfId="14" builtinId="5"/>
    <cellStyle name="RED" xfId="15" xr:uid="{00000000-0005-0000-0000-000017000000}"/>
    <cellStyle name="Style 1" xfId="16" xr:uid="{00000000-0005-0000-0000-000018000000}"/>
    <cellStyle name="Total" xfId="17" builtinId="25" customBuiltin="1"/>
    <cellStyle name="XX" xfId="18" xr:uid="{00000000-0005-0000-0000-00001A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3</xdr:row>
      <xdr:rowOff>123825</xdr:rowOff>
    </xdr:from>
    <xdr:to>
      <xdr:col>2</xdr:col>
      <xdr:colOff>762000</xdr:colOff>
      <xdr:row>6</xdr:row>
      <xdr:rowOff>504825</xdr:rowOff>
    </xdr:to>
    <xdr:sp macro="[0]!MAIN_DURATION_CONVEXITY" textlink="">
      <xdr:nvSpPr>
        <xdr:cNvPr id="2053" name="AutoShape 5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>
          <a:spLocks noChangeArrowheads="1"/>
        </xdr:cNvSpPr>
      </xdr:nvSpPr>
      <xdr:spPr bwMode="auto">
        <a:xfrm>
          <a:off x="552450" y="771525"/>
          <a:ext cx="1838325" cy="895350"/>
        </a:xfrm>
        <a:prstGeom prst="bevel">
          <a:avLst>
            <a:gd name="adj" fmla="val 12500"/>
          </a:avLst>
        </a:prstGeom>
        <a:solidFill>
          <a:srgbClr val="0000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ctr" upright="1"/>
        <a:lstStyle/>
        <a:p>
          <a:pPr algn="ctr" rtl="0">
            <a:defRPr sz="1000"/>
          </a:pPr>
          <a:r>
            <a:rPr lang="en-US" sz="1200" b="1" i="0" strike="noStrike">
              <a:solidFill>
                <a:srgbClr val="FFFFFF"/>
              </a:solidFill>
              <a:latin typeface="Arial"/>
              <a:cs typeface="Arial"/>
            </a:rPr>
            <a:t>RESET TABLE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Desktop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ck"/>
      <sheetName val="mape"/>
      <sheetName val="adx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12"/>
  </sheetPr>
  <dimension ref="B2:M111"/>
  <sheetViews>
    <sheetView showGridLines="0" tabSelected="1" workbookViewId="0">
      <selection activeCell="G18" sqref="G18"/>
    </sheetView>
  </sheetViews>
  <sheetFormatPr baseColWidth="10" defaultColWidth="16.6640625" defaultRowHeight="14"/>
  <cols>
    <col min="1" max="1" width="3.6640625" style="1" customWidth="1"/>
    <col min="2" max="2" width="20.6640625" style="1" customWidth="1"/>
    <col min="3" max="3" width="16.6640625" style="1" customWidth="1"/>
    <col min="4" max="4" width="3.6640625" style="1" customWidth="1"/>
    <col min="5" max="16384" width="16.6640625" style="1"/>
  </cols>
  <sheetData>
    <row r="2" spans="2:13" ht="24">
      <c r="B2" s="14" t="s">
        <v>19</v>
      </c>
    </row>
    <row r="3" spans="2:13">
      <c r="B3" s="13"/>
    </row>
    <row r="4" spans="2:13">
      <c r="E4" s="8"/>
    </row>
    <row r="7" spans="2:13" ht="60">
      <c r="E7" s="6" t="s">
        <v>10</v>
      </c>
      <c r="F7" s="6" t="s">
        <v>11</v>
      </c>
      <c r="G7" s="6" t="s">
        <v>12</v>
      </c>
      <c r="H7" s="6" t="s">
        <v>13</v>
      </c>
      <c r="I7" s="6" t="s">
        <v>14</v>
      </c>
      <c r="J7" s="6" t="s">
        <v>15</v>
      </c>
      <c r="K7" s="6" t="s">
        <v>16</v>
      </c>
      <c r="L7" s="6" t="s">
        <v>17</v>
      </c>
      <c r="M7" s="6" t="s">
        <v>14</v>
      </c>
    </row>
    <row r="8" spans="2:13">
      <c r="B8" s="7" t="s">
        <v>7</v>
      </c>
      <c r="C8" s="9">
        <v>104</v>
      </c>
      <c r="E8" s="10">
        <v>0.04</v>
      </c>
      <c r="F8" s="3">
        <v>108.97790867418966</v>
      </c>
      <c r="G8" s="10">
        <v>4.6536737873805724E-2</v>
      </c>
      <c r="H8" s="3">
        <v>108.8398207388758</v>
      </c>
      <c r="I8" s="11">
        <v>-1.2671186022361906E-3</v>
      </c>
      <c r="J8" s="11">
        <v>1.2929367473266651E-3</v>
      </c>
      <c r="K8" s="11">
        <v>4.7829674621132391E-2</v>
      </c>
      <c r="L8" s="3">
        <v>108.97428616059777</v>
      </c>
      <c r="M8" s="3">
        <v>-3.3240806654886198E-5</v>
      </c>
    </row>
    <row r="9" spans="2:13">
      <c r="B9" s="7" t="s">
        <v>0</v>
      </c>
      <c r="C9" s="2">
        <f ca="1">TODAY()</f>
        <v>44663</v>
      </c>
      <c r="E9" s="10">
        <v>4.1000000000000002E-2</v>
      </c>
      <c r="F9" s="3">
        <v>108.50674215263098</v>
      </c>
      <c r="G9" s="10">
        <v>4.2241550272562267E-2</v>
      </c>
      <c r="H9" s="3">
        <v>108.39312122834649</v>
      </c>
      <c r="I9" s="11">
        <v>-1.0471323903971336E-3</v>
      </c>
      <c r="J9" s="11">
        <v>1.0652832591846462E-3</v>
      </c>
      <c r="K9" s="11">
        <v>4.3306833531746913E-2</v>
      </c>
      <c r="L9" s="3">
        <v>108.5039106873017</v>
      </c>
      <c r="M9" s="3">
        <v>-2.6094833123795214E-5</v>
      </c>
    </row>
    <row r="10" spans="2:13">
      <c r="B10" s="7" t="s">
        <v>6</v>
      </c>
      <c r="C10" s="2">
        <f ca="1">C9+365*5</f>
        <v>46488</v>
      </c>
      <c r="E10" s="10">
        <v>4.2000000000000003E-2</v>
      </c>
      <c r="F10" s="3">
        <v>108.03799985913385</v>
      </c>
      <c r="G10" s="10">
        <v>3.794636267131881E-2</v>
      </c>
      <c r="H10" s="3">
        <v>107.94642171781716</v>
      </c>
      <c r="I10" s="11">
        <v>-8.4764750769260008E-4</v>
      </c>
      <c r="J10" s="11">
        <v>8.5965800474849263E-4</v>
      </c>
      <c r="K10" s="11">
        <v>3.8806020676067303E-2</v>
      </c>
      <c r="L10" s="3">
        <v>108.03582615031098</v>
      </c>
      <c r="M10" s="3">
        <v>-2.0119854363282983E-5</v>
      </c>
    </row>
    <row r="11" spans="2:13">
      <c r="B11" s="7" t="s">
        <v>5</v>
      </c>
      <c r="C11" s="4">
        <v>0.06</v>
      </c>
      <c r="E11" s="10">
        <v>4.3000000000000003E-2</v>
      </c>
      <c r="F11" s="3">
        <v>107.57166790096296</v>
      </c>
      <c r="G11" s="10">
        <v>3.3651175070075354E-2</v>
      </c>
      <c r="H11" s="3">
        <v>107.49972220728785</v>
      </c>
      <c r="I11" s="11">
        <v>-6.6881638147840369E-4</v>
      </c>
      <c r="J11" s="11">
        <v>6.7606098401820419E-4</v>
      </c>
      <c r="K11" s="11">
        <v>3.432723605409356E-2</v>
      </c>
      <c r="L11" s="3">
        <v>107.57003254962574</v>
      </c>
      <c r="M11" s="3">
        <v>-1.520243544734878E-5</v>
      </c>
    </row>
    <row r="12" spans="2:13">
      <c r="B12" s="12"/>
      <c r="E12" s="10">
        <v>4.4000000000000004E-2</v>
      </c>
      <c r="F12" s="3">
        <v>107.1077324723483</v>
      </c>
      <c r="G12" s="10">
        <v>2.93559874688319E-2</v>
      </c>
      <c r="H12" s="3">
        <v>107.05302269675852</v>
      </c>
      <c r="I12" s="11">
        <v>-5.1079202525279349E-4</v>
      </c>
      <c r="J12" s="11">
        <v>5.1449219699378128E-4</v>
      </c>
      <c r="K12" s="11">
        <v>2.9870479665825681E-2</v>
      </c>
      <c r="L12" s="3">
        <v>107.10652988524588</v>
      </c>
      <c r="M12" s="3">
        <v>-1.1227827110772291E-5</v>
      </c>
    </row>
    <row r="13" spans="2:13">
      <c r="B13" s="7" t="s">
        <v>8</v>
      </c>
      <c r="C13" s="4">
        <v>0.04</v>
      </c>
      <c r="E13" s="10">
        <v>4.5000000000000005E-2</v>
      </c>
      <c r="F13" s="3">
        <v>106.64617985389529</v>
      </c>
      <c r="G13" s="10">
        <v>2.5060799867588444E-2</v>
      </c>
      <c r="H13" s="3">
        <v>106.6063231862292</v>
      </c>
      <c r="I13" s="11">
        <v>-3.7372803902296112E-4</v>
      </c>
      <c r="J13" s="11">
        <v>3.7495164367522358E-4</v>
      </c>
      <c r="K13" s="11">
        <v>2.5435751511263666E-2</v>
      </c>
      <c r="L13" s="3">
        <v>106.64531815717143</v>
      </c>
      <c r="M13" s="3">
        <v>-8.0799586543091864E-6</v>
      </c>
    </row>
    <row r="14" spans="2:13">
      <c r="B14" s="7" t="s">
        <v>9</v>
      </c>
      <c r="C14" s="4">
        <v>0.1</v>
      </c>
      <c r="E14" s="10">
        <v>4.6000000000000006E-2</v>
      </c>
      <c r="F14" s="3">
        <v>106.18699641200133</v>
      </c>
      <c r="G14" s="10">
        <v>2.0765612266344987E-2</v>
      </c>
      <c r="H14" s="3">
        <v>106.15962367569986</v>
      </c>
      <c r="I14" s="11">
        <v>-2.5777860968274988E-4</v>
      </c>
      <c r="J14" s="11">
        <v>2.5743932406253124E-4</v>
      </c>
      <c r="K14" s="11">
        <v>2.1023051590407519E-2</v>
      </c>
      <c r="L14" s="3">
        <v>106.18639736540239</v>
      </c>
      <c r="M14" s="3">
        <v>-5.6414308643362425E-6</v>
      </c>
    </row>
    <row r="15" spans="2:13">
      <c r="B15" s="7" t="s">
        <v>3</v>
      </c>
      <c r="C15" s="4">
        <v>1E-3</v>
      </c>
      <c r="E15" s="10">
        <v>4.7000000000000007E-2</v>
      </c>
      <c r="F15" s="3">
        <v>105.73016859827541</v>
      </c>
      <c r="G15" s="10">
        <v>1.647042466510153E-2</v>
      </c>
      <c r="H15" s="3">
        <v>105.71292416517056</v>
      </c>
      <c r="I15" s="11">
        <v>-1.6309851136594948E-4</v>
      </c>
      <c r="J15" s="11">
        <v>1.6195523815570423E-4</v>
      </c>
      <c r="K15" s="11">
        <v>1.6632379903257236E-2</v>
      </c>
      <c r="L15" s="3">
        <v>105.72976750993875</v>
      </c>
      <c r="M15" s="3">
        <v>-3.7935089102422431E-6</v>
      </c>
    </row>
    <row r="16" spans="2:13">
      <c r="B16" s="12"/>
      <c r="E16" s="10">
        <v>4.8000000000000008E-2</v>
      </c>
      <c r="F16" s="3">
        <v>105.27568294896301</v>
      </c>
      <c r="G16" s="10">
        <v>1.2175237063858075E-2</v>
      </c>
      <c r="H16" s="3">
        <v>105.26622465464125</v>
      </c>
      <c r="I16" s="11">
        <v>-8.9843105803888112E-5</v>
      </c>
      <c r="J16" s="11">
        <v>8.8499385954742593E-5</v>
      </c>
      <c r="K16" s="11">
        <v>1.2263736449812818E-2</v>
      </c>
      <c r="L16" s="3">
        <v>105.27542859078054</v>
      </c>
      <c r="M16" s="3">
        <v>-2.4161152447445122E-6</v>
      </c>
    </row>
    <row r="17" spans="2:13">
      <c r="B17" s="7" t="s">
        <v>1</v>
      </c>
      <c r="C17" s="5">
        <v>2</v>
      </c>
      <c r="E17" s="10">
        <v>4.9000000000000009E-2</v>
      </c>
      <c r="F17" s="3">
        <v>104.82352608437327</v>
      </c>
      <c r="G17" s="10">
        <v>7.8800494626146186E-3</v>
      </c>
      <c r="H17" s="3">
        <v>104.81952514411191</v>
      </c>
      <c r="I17" s="11">
        <v>-3.8168342649941499E-5</v>
      </c>
      <c r="J17" s="11">
        <v>3.7071767459646274E-5</v>
      </c>
      <c r="K17" s="11">
        <v>7.9171212300742644E-3</v>
      </c>
      <c r="L17" s="3">
        <v>104.82338060792773</v>
      </c>
      <c r="M17" s="3">
        <v>-1.387822476242272E-6</v>
      </c>
    </row>
    <row r="18" spans="2:13">
      <c r="B18" s="7" t="s">
        <v>18</v>
      </c>
      <c r="C18" s="5">
        <v>100</v>
      </c>
      <c r="E18" s="10">
        <v>5.000000000000001E-2</v>
      </c>
      <c r="F18" s="3">
        <v>104.3736847083123</v>
      </c>
      <c r="G18" s="10">
        <v>3.5848618613711614E-3</v>
      </c>
      <c r="H18" s="3">
        <v>104.37282563358261</v>
      </c>
      <c r="I18" s="11">
        <v>-8.2307598135495557E-6</v>
      </c>
      <c r="J18" s="11">
        <v>7.6723826704152973E-6</v>
      </c>
      <c r="K18" s="11">
        <v>3.5925342440415765E-3</v>
      </c>
      <c r="L18" s="3">
        <v>104.37362356138031</v>
      </c>
      <c r="M18" s="3">
        <v>-5.8584625190192293E-7</v>
      </c>
    </row>
    <row r="19" spans="2:13">
      <c r="B19" s="7" t="s">
        <v>2</v>
      </c>
      <c r="C19" s="5">
        <v>0</v>
      </c>
      <c r="E19" s="10">
        <v>5.1000000000000011E-2</v>
      </c>
      <c r="F19" s="3">
        <v>103.9261456075194</v>
      </c>
      <c r="G19" s="10">
        <v>-7.1032573987229498E-4</v>
      </c>
      <c r="H19" s="3">
        <v>103.92612612305328</v>
      </c>
      <c r="I19" s="11">
        <v>-1.8748377521769363E-7</v>
      </c>
      <c r="J19" s="11">
        <v>3.0123158704965603E-7</v>
      </c>
      <c r="K19" s="11">
        <v>-7.1002450828524535E-4</v>
      </c>
      <c r="L19" s="3">
        <v>103.92615745113834</v>
      </c>
      <c r="M19" s="3">
        <v>1.1396188000742967E-7</v>
      </c>
    </row>
    <row r="20" spans="2:13">
      <c r="B20" s="7" t="s">
        <v>4</v>
      </c>
      <c r="C20" s="4">
        <v>0.1</v>
      </c>
      <c r="E20" s="10">
        <v>5.2000000000000011E-2</v>
      </c>
      <c r="F20" s="3">
        <v>103.48089565110845</v>
      </c>
      <c r="G20" s="10">
        <v>-5.0055133411157516E-3</v>
      </c>
      <c r="H20" s="3">
        <v>103.47942661252397</v>
      </c>
      <c r="I20" s="11">
        <v>-1.4196229895821566E-5</v>
      </c>
      <c r="J20" s="11">
        <v>1.4958314209549351E-5</v>
      </c>
      <c r="K20" s="11">
        <v>-4.9905550269062019E-3</v>
      </c>
      <c r="L20" s="3">
        <v>103.48098227720176</v>
      </c>
      <c r="M20" s="3">
        <v>8.3712160357239163E-7</v>
      </c>
    </row>
    <row r="21" spans="2:13">
      <c r="E21" s="10">
        <v>5.3000000000000012E-2</v>
      </c>
      <c r="F21" s="3">
        <v>103.03792179001161</v>
      </c>
      <c r="G21" s="10">
        <v>-9.3007009423592083E-3</v>
      </c>
      <c r="H21" s="3">
        <v>103.03272710199464</v>
      </c>
      <c r="I21" s="11">
        <v>-5.0415302703382357E-5</v>
      </c>
      <c r="J21" s="11">
        <v>5.1643630537914382E-5</v>
      </c>
      <c r="K21" s="11">
        <v>-9.2490573118212942E-3</v>
      </c>
      <c r="L21" s="3">
        <v>103.03809803957058</v>
      </c>
      <c r="M21" s="3">
        <v>1.7105309959091997E-6</v>
      </c>
    </row>
    <row r="22" spans="2:13">
      <c r="E22" s="10">
        <v>5.4000000000000013E-2</v>
      </c>
      <c r="F22" s="3">
        <v>102.59721105642869</v>
      </c>
      <c r="G22" s="10">
        <v>-1.3595888543602665E-2</v>
      </c>
      <c r="H22" s="3">
        <v>102.58602759146532</v>
      </c>
      <c r="I22" s="11">
        <v>-1.0900359618172748E-4</v>
      </c>
      <c r="J22" s="11">
        <v>1.1035718057214475E-4</v>
      </c>
      <c r="K22" s="11">
        <v>-1.3485531363030521E-2</v>
      </c>
      <c r="L22" s="3">
        <v>102.59750473824482</v>
      </c>
      <c r="M22" s="3">
        <v>2.8624736784523966E-6</v>
      </c>
    </row>
    <row r="23" spans="2:13">
      <c r="E23" s="10">
        <v>5.5000000000000014E-2</v>
      </c>
      <c r="F23" s="3">
        <v>102.1587505632797</v>
      </c>
      <c r="G23" s="10">
        <v>-1.789107614484612E-2</v>
      </c>
      <c r="H23" s="3">
        <v>102.13932808093601</v>
      </c>
      <c r="I23" s="11">
        <v>-1.9012059404206118E-4</v>
      </c>
      <c r="J23" s="11">
        <v>1.9109896431224044E-4</v>
      </c>
      <c r="K23" s="11">
        <v>-1.7699977180533878E-2</v>
      </c>
      <c r="L23" s="3">
        <v>102.15920237322447</v>
      </c>
      <c r="M23" s="3">
        <v>4.4226259844283217E-6</v>
      </c>
    </row>
    <row r="24" spans="2:13">
      <c r="E24" s="10">
        <v>5.6000000000000015E-2</v>
      </c>
      <c r="F24" s="3">
        <v>101.72252750366214</v>
      </c>
      <c r="G24" s="10">
        <v>-2.2186263746089577E-2</v>
      </c>
      <c r="H24" s="3">
        <v>101.69262857040668</v>
      </c>
      <c r="I24" s="11">
        <v>-2.9392636999091748E-4</v>
      </c>
      <c r="J24" s="11">
        <v>2.9386898175820151E-4</v>
      </c>
      <c r="K24" s="11">
        <v>-2.1892394764331375E-2</v>
      </c>
      <c r="L24" s="3">
        <v>101.72319094450954</v>
      </c>
      <c r="M24" s="3">
        <v>6.5220641256710102E-6</v>
      </c>
    </row>
    <row r="25" spans="2:13">
      <c r="E25" s="10">
        <v>5.7000000000000016E-2</v>
      </c>
      <c r="F25" s="3">
        <v>101.28852915031058</v>
      </c>
      <c r="G25" s="10">
        <v>-2.6481451347333033E-2</v>
      </c>
      <c r="H25" s="3">
        <v>101.24592905987737</v>
      </c>
      <c r="I25" s="11">
        <v>-4.2058158797027718E-4</v>
      </c>
      <c r="J25" s="11">
        <v>4.1866723291002786E-4</v>
      </c>
      <c r="K25" s="11">
        <v>-2.6062784114423004E-2</v>
      </c>
      <c r="L25" s="3">
        <v>101.28947045210001</v>
      </c>
      <c r="M25" s="3">
        <v>9.2932713834531572E-6</v>
      </c>
    </row>
    <row r="26" spans="2:13">
      <c r="E26" s="10">
        <v>5.8000000000000017E-2</v>
      </c>
      <c r="F26" s="3">
        <v>100.85674285506192</v>
      </c>
      <c r="G26" s="10">
        <v>-3.077663894857649E-2</v>
      </c>
      <c r="H26" s="3">
        <v>100.79922954934804</v>
      </c>
      <c r="I26" s="11">
        <v>-5.7024750240579727E-4</v>
      </c>
      <c r="J26" s="11">
        <v>5.6549371776771964E-4</v>
      </c>
      <c r="K26" s="11">
        <v>-3.021114523080877E-2</v>
      </c>
      <c r="L26" s="3">
        <v>100.85804089599588</v>
      </c>
      <c r="M26" s="3">
        <v>1.2870145289401611E-5</v>
      </c>
    </row>
    <row r="27" spans="2:13">
      <c r="E27" s="10">
        <v>5.9000000000000018E-2</v>
      </c>
      <c r="F27" s="3">
        <v>100.42715604832341</v>
      </c>
      <c r="G27" s="10">
        <v>-3.5071826549819947E-2</v>
      </c>
      <c r="H27" s="3">
        <v>100.35253003881871</v>
      </c>
      <c r="I27" s="11">
        <v>-7.4308595843129645E-4</v>
      </c>
      <c r="J27" s="11">
        <v>7.3434843633127657E-4</v>
      </c>
      <c r="K27" s="11">
        <v>-3.4337478113488668E-2</v>
      </c>
      <c r="L27" s="3">
        <v>100.42890227619718</v>
      </c>
      <c r="M27" s="3">
        <v>1.7388004823381861E-5</v>
      </c>
    </row>
    <row r="28" spans="2:13">
      <c r="E28" s="10">
        <v>6.0000000000000019E-2</v>
      </c>
      <c r="F28" s="3">
        <v>99.999756238545629</v>
      </c>
      <c r="G28" s="10">
        <v>-3.9367014151063404E-2</v>
      </c>
      <c r="H28" s="3">
        <v>99.905830528289414</v>
      </c>
      <c r="I28" s="11">
        <v>-9.3925939211450668E-4</v>
      </c>
      <c r="J28" s="11">
        <v>9.2523138860069903E-4</v>
      </c>
      <c r="K28" s="11">
        <v>-3.8441782762462705E-2</v>
      </c>
      <c r="L28" s="3">
        <v>100.00205459270389</v>
      </c>
      <c r="M28" s="3">
        <v>2.2983597607713678E-5</v>
      </c>
    </row>
    <row r="29" spans="2:13">
      <c r="E29" s="10">
        <v>6.1000000000000019E-2</v>
      </c>
      <c r="F29" s="3">
        <v>99.574531011697331</v>
      </c>
      <c r="G29" s="10">
        <v>-4.366220175230686E-2</v>
      </c>
      <c r="H29" s="3">
        <v>99.459131017760086</v>
      </c>
      <c r="I29" s="11">
        <v>-1.1589308306527602E-3</v>
      </c>
      <c r="J29" s="11">
        <v>1.1381425745759868E-3</v>
      </c>
      <c r="K29" s="11">
        <v>-4.2524059177730875E-2</v>
      </c>
      <c r="L29" s="3">
        <v>99.577497845515992</v>
      </c>
      <c r="M29" s="3">
        <v>2.9795107127469237E-5</v>
      </c>
    </row>
    <row r="30" spans="2:13">
      <c r="E30" s="10">
        <v>6.200000000000002E-2</v>
      </c>
      <c r="F30" s="3">
        <v>99.151468030746102</v>
      </c>
      <c r="G30" s="10">
        <v>-4.7957389353550317E-2</v>
      </c>
      <c r="H30" s="3">
        <v>99.012431507230772</v>
      </c>
      <c r="I30" s="11">
        <v>-1.4022638925751008E-3</v>
      </c>
      <c r="J30" s="11">
        <v>1.3730819942571397E-3</v>
      </c>
      <c r="K30" s="11">
        <v>-4.6584307359293177E-2</v>
      </c>
      <c r="L30" s="3">
        <v>99.155232034633514</v>
      </c>
      <c r="M30" s="3">
        <v>3.7962159937404215E-5</v>
      </c>
    </row>
    <row r="31" spans="2:13">
      <c r="E31" s="10">
        <v>6.3000000000000014E-2</v>
      </c>
      <c r="F31" s="3">
        <v>98.730555035141464</v>
      </c>
      <c r="G31" s="10">
        <v>-5.2252576954793746E-2</v>
      </c>
      <c r="H31" s="3">
        <v>98.565731996701444</v>
      </c>
      <c r="I31" s="11">
        <v>-1.6694227879236916E-3</v>
      </c>
      <c r="J31" s="11">
        <v>1.6300496476441564E-3</v>
      </c>
      <c r="K31" s="11">
        <v>-5.0622527307149591E-2</v>
      </c>
      <c r="L31" s="3">
        <v>98.735257160056449</v>
      </c>
      <c r="M31" s="3">
        <v>4.7625832887411247E-5</v>
      </c>
    </row>
    <row r="32" spans="2:13">
      <c r="E32" s="10">
        <v>6.4000000000000015E-2</v>
      </c>
      <c r="F32" s="3">
        <v>98.311779840302975</v>
      </c>
      <c r="G32" s="10">
        <v>-5.6547764556037203E-2</v>
      </c>
      <c r="H32" s="3">
        <v>98.119032486172131</v>
      </c>
      <c r="I32" s="11">
        <v>-1.9605723184336812E-3</v>
      </c>
      <c r="J32" s="11">
        <v>1.9090455347370399E-3</v>
      </c>
      <c r="K32" s="11">
        <v>-5.4638719021300165E-2</v>
      </c>
      <c r="L32" s="3">
        <v>98.317573221784784</v>
      </c>
      <c r="M32" s="3">
        <v>5.8928660341815146E-5</v>
      </c>
    </row>
    <row r="33" spans="5:13">
      <c r="E33" s="10">
        <v>6.5000000000000016E-2</v>
      </c>
      <c r="F33" s="3">
        <v>97.895130337109947</v>
      </c>
      <c r="G33" s="10">
        <v>-6.0842952157280653E-2</v>
      </c>
      <c r="H33" s="3">
        <v>97.672332975642817</v>
      </c>
      <c r="I33" s="11">
        <v>-2.2758778776830763E-3</v>
      </c>
      <c r="J33" s="11">
        <v>2.2100696555357887E-3</v>
      </c>
      <c r="K33" s="11">
        <v>-5.8632882501744865E-2</v>
      </c>
      <c r="L33" s="3">
        <v>97.902180219818547</v>
      </c>
      <c r="M33" s="3">
        <v>7.201464142621804E-5</v>
      </c>
    </row>
    <row r="34" spans="5:13">
      <c r="E34" s="10">
        <v>6.6000000000000017E-2</v>
      </c>
      <c r="F34" s="3">
        <v>97.480594491397014</v>
      </c>
      <c r="G34" s="10">
        <v>-6.5138139758524116E-2</v>
      </c>
      <c r="H34" s="3">
        <v>97.225633465113489</v>
      </c>
      <c r="I34" s="11">
        <v>-2.6155054512518963E-3</v>
      </c>
      <c r="J34" s="11">
        <v>2.533122010040403E-3</v>
      </c>
      <c r="K34" s="11">
        <v>-6.2605017748483718E-2</v>
      </c>
      <c r="L34" s="3">
        <v>97.489078154157696</v>
      </c>
      <c r="M34" s="3">
        <v>8.7029247256289766E-5</v>
      </c>
    </row>
    <row r="35" spans="5:13">
      <c r="E35" s="10">
        <v>6.7000000000000018E-2</v>
      </c>
      <c r="F35" s="3">
        <v>97.068160343451794</v>
      </c>
      <c r="G35" s="10">
        <v>-6.9433327359767566E-2</v>
      </c>
      <c r="H35" s="3">
        <v>96.778933954584176</v>
      </c>
      <c r="I35" s="11">
        <v>-2.9796216168541975E-3</v>
      </c>
      <c r="J35" s="11">
        <v>2.8782025982508827E-3</v>
      </c>
      <c r="K35" s="11">
        <v>-6.6555124761516676E-2</v>
      </c>
      <c r="L35" s="3">
        <v>97.078267024802258</v>
      </c>
      <c r="M35" s="3">
        <v>1.0411942819050487E-4</v>
      </c>
    </row>
    <row r="36" spans="5:13">
      <c r="E36" s="10">
        <v>6.8000000000000019E-2</v>
      </c>
      <c r="F36" s="3">
        <v>96.657816007517724</v>
      </c>
      <c r="G36" s="10">
        <v>-7.372851496101103E-2</v>
      </c>
      <c r="H36" s="3">
        <v>96.332234444054848</v>
      </c>
      <c r="I36" s="11">
        <v>-3.3683935444760449E-3</v>
      </c>
      <c r="J36" s="11">
        <v>3.2453114201672277E-3</v>
      </c>
      <c r="K36" s="11">
        <v>-7.0483203540843808E-2</v>
      </c>
      <c r="L36" s="3">
        <v>96.669746831752249</v>
      </c>
      <c r="M36" s="3">
        <v>1.2343362106999786E-4</v>
      </c>
    </row>
    <row r="37" spans="5:13">
      <c r="E37" s="10">
        <v>6.900000000000002E-2</v>
      </c>
      <c r="F37" s="3">
        <v>96.249549671298212</v>
      </c>
      <c r="G37" s="10">
        <v>-7.8023702562254479E-2</v>
      </c>
      <c r="H37" s="3">
        <v>95.885534933525534</v>
      </c>
      <c r="I37" s="11">
        <v>-3.7819889964765987E-3</v>
      </c>
      <c r="J37" s="11">
        <v>3.6344484757894376E-3</v>
      </c>
      <c r="K37" s="11">
        <v>-7.4389254086465045E-2</v>
      </c>
      <c r="L37" s="3">
        <v>96.26351757500764</v>
      </c>
      <c r="M37" s="3">
        <v>1.451217564874851E-4</v>
      </c>
    </row>
    <row r="38" spans="5:13">
      <c r="E38" s="10">
        <v>7.0000000000000021E-2</v>
      </c>
      <c r="F38" s="3">
        <v>95.843349595466506</v>
      </c>
      <c r="G38" s="10">
        <v>-8.2318890163497943E-2</v>
      </c>
      <c r="H38" s="3">
        <v>95.43883542299622</v>
      </c>
      <c r="I38" s="11">
        <v>-4.2205763277019257E-3</v>
      </c>
      <c r="J38" s="11">
        <v>4.0456137651175127E-3</v>
      </c>
      <c r="K38" s="11">
        <v>-7.8273276398380429E-2</v>
      </c>
      <c r="L38" s="3">
        <v>95.85957925456843</v>
      </c>
      <c r="M38" s="3">
        <v>1.6933526604011635E-4</v>
      </c>
    </row>
    <row r="39" spans="5:13">
      <c r="E39" s="10">
        <v>7.1000000000000021E-2</v>
      </c>
      <c r="F39" s="3">
        <v>95.439204113177794</v>
      </c>
      <c r="G39" s="10">
        <v>-8.6614077764741393E-2</v>
      </c>
      <c r="H39" s="3">
        <v>94.992135912466892</v>
      </c>
      <c r="I39" s="11">
        <v>-4.6843244855724114E-3</v>
      </c>
      <c r="J39" s="11">
        <v>4.4788072881514545E-3</v>
      </c>
      <c r="K39" s="11">
        <v>-8.2135270476589944E-2</v>
      </c>
      <c r="L39" s="3">
        <v>95.457931870434649</v>
      </c>
      <c r="M39" s="3">
        <v>1.9622708959984796E-4</v>
      </c>
    </row>
    <row r="40" spans="5:13">
      <c r="E40" s="10">
        <v>7.2000000000000022E-2</v>
      </c>
      <c r="F40" s="3">
        <v>95.037101629585962</v>
      </c>
      <c r="G40" s="10">
        <v>-9.0909265365984857E-2</v>
      </c>
      <c r="H40" s="3">
        <v>94.545436401937579</v>
      </c>
      <c r="I40" s="11">
        <v>-5.1734030101705346E-3</v>
      </c>
      <c r="J40" s="11">
        <v>4.9340290448912603E-3</v>
      </c>
      <c r="K40" s="11">
        <v>-8.5975236321093593E-2</v>
      </c>
      <c r="L40" s="3">
        <v>95.058575422606268</v>
      </c>
      <c r="M40" s="3">
        <v>2.2595168257552082E-4</v>
      </c>
    </row>
    <row r="41" spans="5:13">
      <c r="E41" s="10">
        <v>7.3000000000000023E-2</v>
      </c>
      <c r="F41" s="3">
        <v>94.637030621361959</v>
      </c>
      <c r="G41" s="10">
        <v>-9.5204452967228306E-2</v>
      </c>
      <c r="H41" s="3">
        <v>94.098736891408251</v>
      </c>
      <c r="I41" s="11">
        <v>-5.6879820342989624E-3</v>
      </c>
      <c r="J41" s="11">
        <v>5.4112790353369319E-3</v>
      </c>
      <c r="K41" s="11">
        <v>-8.9793173931891374E-2</v>
      </c>
      <c r="L41" s="3">
        <v>94.6615099110833</v>
      </c>
      <c r="M41" s="3">
        <v>2.5866502320092777E-4</v>
      </c>
    </row>
    <row r="42" spans="5:13">
      <c r="E42" s="10">
        <v>7.4000000000000024E-2</v>
      </c>
      <c r="F42" s="3">
        <v>94.238979636217536</v>
      </c>
      <c r="G42" s="10">
        <v>-9.949964056847177E-2</v>
      </c>
      <c r="H42" s="3">
        <v>93.652037380878937</v>
      </c>
      <c r="I42" s="11">
        <v>-6.2282322835446697E-3</v>
      </c>
      <c r="J42" s="11">
        <v>5.9105572594884701E-3</v>
      </c>
      <c r="K42" s="11">
        <v>-9.3589083308983301E-2</v>
      </c>
      <c r="L42" s="3">
        <v>94.266735335865732</v>
      </c>
      <c r="M42" s="3">
        <v>2.9452461980529856E-4</v>
      </c>
    </row>
    <row r="43" spans="5:13">
      <c r="E43" s="10">
        <v>7.5000000000000025E-2</v>
      </c>
      <c r="F43" s="3">
        <v>93.842937292431159</v>
      </c>
      <c r="G43" s="10">
        <v>-0.10379482816971522</v>
      </c>
      <c r="H43" s="3">
        <v>93.205337870349624</v>
      </c>
      <c r="I43" s="11">
        <v>-6.7943250763204842E-3</v>
      </c>
      <c r="J43" s="11">
        <v>6.4318637173458723E-3</v>
      </c>
      <c r="K43" s="11">
        <v>-9.7362964452369347E-2</v>
      </c>
      <c r="L43" s="3">
        <v>93.874251696953593</v>
      </c>
      <c r="M43" s="3">
        <v>3.336895181024884E-4</v>
      </c>
    </row>
    <row r="44" spans="5:13">
      <c r="E44" s="10">
        <v>7.6000000000000026E-2</v>
      </c>
      <c r="F44" s="3">
        <v>93.448892278378523</v>
      </c>
      <c r="G44" s="10">
        <v>-0.10809001577095868</v>
      </c>
      <c r="H44" s="3">
        <v>92.758638359820296</v>
      </c>
      <c r="I44" s="11">
        <v>-7.3864323239060227E-3</v>
      </c>
      <c r="J44" s="11">
        <v>6.9751984089091385E-3</v>
      </c>
      <c r="K44" s="11">
        <v>-0.10111481736204954</v>
      </c>
      <c r="L44" s="3">
        <v>93.484058994346853</v>
      </c>
      <c r="M44" s="3">
        <v>3.7632030846947569E-4</v>
      </c>
    </row>
    <row r="45" spans="5:13">
      <c r="E45" s="10">
        <v>7.7000000000000027E-2</v>
      </c>
      <c r="F45" s="3">
        <v>93.05683335206453</v>
      </c>
      <c r="G45" s="10">
        <v>-0.11238520337220213</v>
      </c>
      <c r="H45" s="3">
        <v>92.311938849290982</v>
      </c>
      <c r="I45" s="11">
        <v>-8.0047265304565799E-3</v>
      </c>
      <c r="J45" s="11">
        <v>7.5405613341782713E-3</v>
      </c>
      <c r="K45" s="11">
        <v>-0.10484464203802386</v>
      </c>
      <c r="L45" s="3">
        <v>93.096157228045513</v>
      </c>
      <c r="M45" s="3">
        <v>4.2257913325084012E-4</v>
      </c>
    </row>
    <row r="46" spans="5:13">
      <c r="E46" s="10">
        <v>7.8000000000000028E-2</v>
      </c>
      <c r="F46" s="3">
        <v>92.666749340660544</v>
      </c>
      <c r="G46" s="10">
        <v>-0.1166803909734456</v>
      </c>
      <c r="H46" s="3">
        <v>91.865239338761654</v>
      </c>
      <c r="I46" s="11">
        <v>-8.6493807930219675E-3</v>
      </c>
      <c r="J46" s="11">
        <v>8.1279524931532707E-3</v>
      </c>
      <c r="K46" s="11">
        <v>-0.10855243848029232</v>
      </c>
      <c r="L46" s="3">
        <v>92.710546398049601</v>
      </c>
      <c r="M46" s="3">
        <v>4.7262969404538422E-4</v>
      </c>
    </row>
    <row r="47" spans="5:13">
      <c r="E47" s="10">
        <v>7.9000000000000029E-2</v>
      </c>
      <c r="F47" s="3">
        <v>92.278629140043662</v>
      </c>
      <c r="G47" s="10">
        <v>-0.12097557857468905</v>
      </c>
      <c r="H47" s="3">
        <v>91.418539828232326</v>
      </c>
      <c r="I47" s="11">
        <v>-9.3205688015374575E-3</v>
      </c>
      <c r="J47" s="11">
        <v>8.7373718858341342E-3</v>
      </c>
      <c r="K47" s="11">
        <v>-0.11223820668885491</v>
      </c>
      <c r="L47" s="3">
        <v>92.327226504359089</v>
      </c>
      <c r="M47" s="3">
        <v>5.2663725900906598E-4</v>
      </c>
    </row>
    <row r="48" spans="5:13">
      <c r="E48" s="10">
        <v>8.0000000000000029E-2</v>
      </c>
      <c r="F48" s="3">
        <v>91.892461714340584</v>
      </c>
      <c r="G48" s="10">
        <v>-0.1252707661759325</v>
      </c>
      <c r="H48" s="3">
        <v>90.971840317703027</v>
      </c>
      <c r="I48" s="11">
        <v>-1.0018464838818074E-2</v>
      </c>
      <c r="J48" s="11">
        <v>9.3688195122208634E-3</v>
      </c>
      <c r="K48" s="11">
        <v>-0.11590194666371163</v>
      </c>
      <c r="L48" s="3">
        <v>91.946197546973991</v>
      </c>
      <c r="M48" s="3">
        <v>5.8476867014893856E-4</v>
      </c>
    </row>
    <row r="49" spans="5:13">
      <c r="E49" s="10">
        <v>8.100000000000003E-2</v>
      </c>
      <c r="F49" s="3">
        <v>91.508236095472824</v>
      </c>
      <c r="G49" s="10">
        <v>-0.12956595377717595</v>
      </c>
      <c r="H49" s="3">
        <v>90.525140807173699</v>
      </c>
      <c r="I49" s="11">
        <v>-1.0743243780520889E-2</v>
      </c>
      <c r="J49" s="11">
        <v>1.0022295372313457E-2</v>
      </c>
      <c r="K49" s="11">
        <v>-0.11954365840486249</v>
      </c>
      <c r="L49" s="3">
        <v>91.567459525894307</v>
      </c>
      <c r="M49" s="3">
        <v>6.4719235063927379E-4</v>
      </c>
    </row>
    <row r="50" spans="5:13">
      <c r="E50" s="10">
        <v>8.2000000000000031E-2</v>
      </c>
      <c r="F50" s="3">
        <v>91.125941382706955</v>
      </c>
      <c r="G50" s="10">
        <v>-0.13386114137841942</v>
      </c>
      <c r="H50" s="3">
        <v>90.078441296644385</v>
      </c>
      <c r="I50" s="11">
        <v>-1.1495081095111241E-2</v>
      </c>
      <c r="J50" s="11">
        <v>1.0697799466111917E-2</v>
      </c>
      <c r="K50" s="11">
        <v>-0.1231633419123075</v>
      </c>
      <c r="L50" s="3">
        <v>91.191012441120023</v>
      </c>
      <c r="M50" s="3">
        <v>7.14078312121738E-4</v>
      </c>
    </row>
    <row r="51" spans="5:13">
      <c r="E51" s="10">
        <v>8.3000000000000032E-2</v>
      </c>
      <c r="F51" s="3">
        <v>90.745566742207075</v>
      </c>
      <c r="G51" s="10">
        <v>-0.13815632897966287</v>
      </c>
      <c r="H51" s="3">
        <v>89.631741786115057</v>
      </c>
      <c r="I51" s="11">
        <v>-1.2274152843810067E-2</v>
      </c>
      <c r="J51" s="11">
        <v>1.139533179361624E-2</v>
      </c>
      <c r="K51" s="11">
        <v>-0.12676099718604664</v>
      </c>
      <c r="L51" s="3">
        <v>90.816856292651153</v>
      </c>
      <c r="M51" s="3">
        <v>7.8559816201930486E-4</v>
      </c>
    </row>
    <row r="52" spans="5:13">
      <c r="E52" s="10">
        <v>8.4000000000000033E-2</v>
      </c>
      <c r="F52" s="3">
        <v>90.367101406591374</v>
      </c>
      <c r="G52" s="10">
        <v>-0.14245151658090632</v>
      </c>
      <c r="H52" s="3">
        <v>89.185042275585744</v>
      </c>
      <c r="I52" s="11">
        <v>-1.3080635680535514E-2</v>
      </c>
      <c r="J52" s="11">
        <v>1.2114892354826432E-2</v>
      </c>
      <c r="K52" s="11">
        <v>-0.13033662422607989</v>
      </c>
      <c r="L52" s="3">
        <v>90.444991080487682</v>
      </c>
      <c r="M52" s="3">
        <v>8.6192511084157825E-4</v>
      </c>
    </row>
    <row r="53" spans="5:13">
      <c r="E53" s="10">
        <v>8.5000000000000034E-2</v>
      </c>
      <c r="F53" s="3">
        <v>89.990534674490249</v>
      </c>
      <c r="G53" s="10">
        <v>-0.14674670418214977</v>
      </c>
      <c r="H53" s="3">
        <v>88.73834276505643</v>
      </c>
      <c r="I53" s="11">
        <v>-1.3914706851817156E-2</v>
      </c>
      <c r="J53" s="11">
        <v>1.2856481149742489E-2</v>
      </c>
      <c r="K53" s="11">
        <v>-0.13389022303240727</v>
      </c>
      <c r="L53" s="3">
        <v>90.07541680462964</v>
      </c>
      <c r="M53" s="3">
        <v>9.4323397951154558E-4</v>
      </c>
    </row>
    <row r="54" spans="5:13">
      <c r="E54" s="10">
        <v>8.6000000000000035E-2</v>
      </c>
      <c r="F54" s="3">
        <v>89.615855910109346</v>
      </c>
      <c r="G54" s="10">
        <v>-0.15104189178339325</v>
      </c>
      <c r="H54" s="3">
        <v>88.291643254527102</v>
      </c>
      <c r="I54" s="11">
        <v>-1.477654419671578E-2</v>
      </c>
      <c r="J54" s="11">
        <v>1.3620098178364409E-2</v>
      </c>
      <c r="K54" s="11">
        <v>-0.13742179360502885</v>
      </c>
      <c r="L54" s="3">
        <v>89.708133465076997</v>
      </c>
      <c r="M54" s="3">
        <v>1.0297012066727575E-3</v>
      </c>
    </row>
    <row r="55" spans="5:13">
      <c r="E55" s="10">
        <v>8.7000000000000036E-2</v>
      </c>
      <c r="F55" s="3">
        <v>89.243054542794439</v>
      </c>
      <c r="G55" s="10">
        <v>-0.1553370793846367</v>
      </c>
      <c r="H55" s="3">
        <v>87.844943743997788</v>
      </c>
      <c r="I55" s="11">
        <v>-1.5666326146716765E-2</v>
      </c>
      <c r="J55" s="11">
        <v>1.4405743440692195E-2</v>
      </c>
      <c r="K55" s="11">
        <v>-0.1409313359439445</v>
      </c>
      <c r="L55" s="3">
        <v>89.343141061829769</v>
      </c>
      <c r="M55" s="3">
        <v>1.1215048560147089E-3</v>
      </c>
    </row>
    <row r="56" spans="5:13">
      <c r="E56" s="10">
        <v>8.8000000000000037E-2</v>
      </c>
      <c r="F56" s="3">
        <v>88.872120066600701</v>
      </c>
      <c r="G56" s="10">
        <v>-0.15963226698588015</v>
      </c>
      <c r="H56" s="3">
        <v>87.398244233468461</v>
      </c>
      <c r="I56" s="11">
        <v>-1.6584231725626876E-2</v>
      </c>
      <c r="J56" s="11">
        <v>1.5213416936725847E-2</v>
      </c>
      <c r="K56" s="11">
        <v>-0.14441885004915431</v>
      </c>
      <c r="L56" s="3">
        <v>88.980439594887955</v>
      </c>
      <c r="M56" s="3">
        <v>1.2188246235836301E-3</v>
      </c>
    </row>
    <row r="57" spans="5:13">
      <c r="E57" s="10">
        <v>8.9000000000000037E-2</v>
      </c>
      <c r="F57" s="3">
        <v>88.503042039863146</v>
      </c>
      <c r="G57" s="10">
        <v>-0.1639274545871236</v>
      </c>
      <c r="H57" s="3">
        <v>86.951544722939133</v>
      </c>
      <c r="I57" s="11">
        <v>-1.7530440549435523E-2</v>
      </c>
      <c r="J57" s="11">
        <v>1.6043118666465364E-2</v>
      </c>
      <c r="K57" s="11">
        <v>-0.14788433592065825</v>
      </c>
      <c r="L57" s="3">
        <v>88.62002906425154</v>
      </c>
      <c r="M57" s="3">
        <v>1.3218418451164729E-3</v>
      </c>
    </row>
    <row r="58" spans="5:13">
      <c r="E58" s="10">
        <v>9.0000000000000038E-2</v>
      </c>
      <c r="F58" s="3">
        <v>88.135810084771961</v>
      </c>
      <c r="G58" s="10">
        <v>-0.16822264218836708</v>
      </c>
      <c r="H58" s="3">
        <v>86.504845212409833</v>
      </c>
      <c r="I58" s="11">
        <v>-1.8505132826185083E-2</v>
      </c>
      <c r="J58" s="11">
        <v>1.6894848629910746E-2</v>
      </c>
      <c r="K58" s="11">
        <v>-0.15132779355845632</v>
      </c>
      <c r="L58" s="3">
        <v>88.261909469920553</v>
      </c>
      <c r="M58" s="3">
        <v>1.4307395033563031E-3</v>
      </c>
    </row>
    <row r="59" spans="5:13">
      <c r="E59" s="10">
        <v>9.1000000000000039E-2</v>
      </c>
      <c r="F59" s="3">
        <v>87.770413886949768</v>
      </c>
      <c r="G59" s="10">
        <v>-0.17251782978961053</v>
      </c>
      <c r="H59" s="3">
        <v>86.058145701880505</v>
      </c>
      <c r="I59" s="11">
        <v>-1.9508489355817577E-2</v>
      </c>
      <c r="J59" s="11">
        <v>1.7768606827061995E-2</v>
      </c>
      <c r="K59" s="11">
        <v>-0.15474922296254853</v>
      </c>
      <c r="L59" s="3">
        <v>87.906080811894952</v>
      </c>
      <c r="M59" s="3">
        <v>1.5457022353788381E-3</v>
      </c>
    </row>
    <row r="60" spans="5:13">
      <c r="E60" s="10">
        <v>9.200000000000004E-2</v>
      </c>
      <c r="F60" s="3">
        <v>87.406843195032863</v>
      </c>
      <c r="G60" s="10">
        <v>-0.17681301739085398</v>
      </c>
      <c r="H60" s="3">
        <v>85.611446191351192</v>
      </c>
      <c r="I60" s="11">
        <v>-2.0540691530016263E-2</v>
      </c>
      <c r="J60" s="11">
        <v>1.8664393257919108E-2</v>
      </c>
      <c r="K60" s="11">
        <v>-0.15814862413293487</v>
      </c>
      <c r="L60" s="3">
        <v>87.55254309017478</v>
      </c>
      <c r="M60" s="3">
        <v>1.6669163399118893E-3</v>
      </c>
    </row>
    <row r="61" spans="5:13">
      <c r="E61" s="10">
        <v>9.3000000000000041E-2</v>
      </c>
      <c r="F61" s="3">
        <v>87.045087820253826</v>
      </c>
      <c r="G61" s="10">
        <v>-0.18110820499209743</v>
      </c>
      <c r="H61" s="3">
        <v>85.164746680821864</v>
      </c>
      <c r="I61" s="11">
        <v>-2.1601921332020772E-2</v>
      </c>
      <c r="J61" s="11">
        <v>1.9582207922482085E-2</v>
      </c>
      <c r="K61" s="11">
        <v>-0.16152599706961535</v>
      </c>
      <c r="L61" s="3">
        <v>87.201296304760007</v>
      </c>
      <c r="M61" s="3">
        <v>1.794569784670072E-3</v>
      </c>
    </row>
    <row r="62" spans="5:13">
      <c r="E62" s="10">
        <v>9.4000000000000042E-2</v>
      </c>
      <c r="F62" s="3">
        <v>86.68513763602877</v>
      </c>
      <c r="G62" s="10">
        <v>-0.1854033925933409</v>
      </c>
      <c r="H62" s="3">
        <v>84.71804717029255</v>
      </c>
      <c r="I62" s="11">
        <v>-2.2692361336444856E-2</v>
      </c>
      <c r="J62" s="11">
        <v>2.0522050820750929E-2</v>
      </c>
      <c r="K62" s="11">
        <v>-0.16488134177258998</v>
      </c>
      <c r="L62" s="3">
        <v>86.852340455650648</v>
      </c>
      <c r="M62" s="3">
        <v>1.9288522136738627E-3</v>
      </c>
    </row>
    <row r="63" spans="5:13">
      <c r="E63" s="10">
        <v>9.5000000000000043E-2</v>
      </c>
      <c r="F63" s="3">
        <v>86.326982577546445</v>
      </c>
      <c r="G63" s="10">
        <v>-0.18969858019458435</v>
      </c>
      <c r="H63" s="3">
        <v>84.271347659763236</v>
      </c>
      <c r="I63" s="11">
        <v>-2.3812194709072077E-2</v>
      </c>
      <c r="J63" s="11">
        <v>2.1483921952725638E-2</v>
      </c>
      <c r="K63" s="11">
        <v>-0.16821465824185872</v>
      </c>
      <c r="L63" s="3">
        <v>86.505675542846703</v>
      </c>
      <c r="M63" s="3">
        <v>2.0699549545791169E-3</v>
      </c>
    </row>
    <row r="64" spans="5:13">
      <c r="E64" s="10">
        <v>9.6000000000000044E-2</v>
      </c>
      <c r="F64" s="3">
        <v>85.970612641361242</v>
      </c>
      <c r="G64" s="10">
        <v>-0.1939937677958278</v>
      </c>
      <c r="H64" s="3">
        <v>83.824648149233909</v>
      </c>
      <c r="I64" s="11">
        <v>-2.4961605206648148E-2</v>
      </c>
      <c r="J64" s="11">
        <v>2.246782131840621E-2</v>
      </c>
      <c r="K64" s="11">
        <v>-0.17152594647742159</v>
      </c>
      <c r="L64" s="3">
        <v>86.161301566348158</v>
      </c>
      <c r="M64" s="3">
        <v>2.218071025995842E-3</v>
      </c>
    </row>
    <row r="65" spans="5:13">
      <c r="E65" s="10">
        <v>9.7000000000000045E-2</v>
      </c>
      <c r="F65" s="3">
        <v>85.616017884987627</v>
      </c>
      <c r="G65" s="10">
        <v>-0.19828895539707125</v>
      </c>
      <c r="H65" s="3">
        <v>83.377948638704595</v>
      </c>
      <c r="I65" s="11">
        <v>-2.614077717664404E-2</v>
      </c>
      <c r="J65" s="11">
        <v>2.3473748917792654E-2</v>
      </c>
      <c r="K65" s="11">
        <v>-0.17481520647927859</v>
      </c>
      <c r="L65" s="3">
        <v>85.819218526155026</v>
      </c>
      <c r="M65" s="3">
        <v>2.3733951448240537E-3</v>
      </c>
    </row>
    <row r="66" spans="5:13">
      <c r="E66" s="10">
        <v>9.8000000000000045E-2</v>
      </c>
      <c r="F66" s="3">
        <v>85.263188426498758</v>
      </c>
      <c r="G66" s="10">
        <v>-0.20258414299831473</v>
      </c>
      <c r="H66" s="3">
        <v>82.931249128175267</v>
      </c>
      <c r="I66" s="11">
        <v>-2.7349895557022733E-2</v>
      </c>
      <c r="J66" s="11">
        <v>2.4501704750884958E-2</v>
      </c>
      <c r="K66" s="11">
        <v>-0.17808243824742978</v>
      </c>
      <c r="L66" s="3">
        <v>85.479426422267309</v>
      </c>
      <c r="M66" s="3">
        <v>2.5361237335730165E-3</v>
      </c>
    </row>
    <row r="67" spans="5:13">
      <c r="E67" s="10">
        <v>9.9000000000000046E-2</v>
      </c>
      <c r="F67" s="3">
        <v>84.91211444412734</v>
      </c>
      <c r="G67" s="10">
        <v>-0.20687933059955818</v>
      </c>
      <c r="H67" s="3">
        <v>82.484549617645939</v>
      </c>
      <c r="I67" s="11">
        <v>-2.8589145875983955E-2</v>
      </c>
      <c r="J67" s="11">
        <v>2.5551688817683126E-2</v>
      </c>
      <c r="K67" s="11">
        <v>-0.18132764178187505</v>
      </c>
      <c r="L67" s="3">
        <v>85.141925254685006</v>
      </c>
      <c r="M67" s="3">
        <v>2.7064549276874122E-3</v>
      </c>
    </row>
    <row r="68" spans="5:13">
      <c r="E68" s="10">
        <v>0.10000000000000005</v>
      </c>
      <c r="F68" s="3">
        <v>84.562786175869874</v>
      </c>
      <c r="G68" s="10">
        <v>-0.21117451820080163</v>
      </c>
      <c r="H68" s="3">
        <v>82.03785010711664</v>
      </c>
      <c r="I68" s="11">
        <v>-2.9858714251703888E-2</v>
      </c>
      <c r="J68" s="11">
        <v>2.6623701118187165E-2</v>
      </c>
      <c r="K68" s="11">
        <v>-0.18455081708261448</v>
      </c>
      <c r="L68" s="3">
        <v>84.806715023408103</v>
      </c>
      <c r="M68" s="3">
        <v>2.8845885828657084E-3</v>
      </c>
    </row>
    <row r="69" spans="5:13">
      <c r="E69" s="10"/>
      <c r="F69" s="3"/>
      <c r="G69" s="10"/>
      <c r="H69" s="3"/>
      <c r="I69" s="11"/>
      <c r="J69" s="11"/>
      <c r="K69" s="11"/>
      <c r="L69" s="3"/>
      <c r="M69" s="3"/>
    </row>
    <row r="70" spans="5:13">
      <c r="E70" s="10"/>
      <c r="F70" s="3"/>
      <c r="G70" s="10"/>
      <c r="H70" s="3"/>
      <c r="I70" s="11"/>
      <c r="J70" s="11"/>
      <c r="K70" s="11"/>
      <c r="L70" s="3"/>
      <c r="M70" s="3"/>
    </row>
    <row r="71" spans="5:13">
      <c r="E71" s="10"/>
      <c r="F71" s="3"/>
      <c r="G71" s="10"/>
      <c r="H71" s="3"/>
      <c r="I71" s="11"/>
      <c r="J71" s="11"/>
      <c r="K71" s="11"/>
      <c r="L71" s="3"/>
      <c r="M71" s="3"/>
    </row>
    <row r="72" spans="5:13">
      <c r="E72" s="10"/>
      <c r="F72" s="3"/>
      <c r="G72" s="10"/>
      <c r="H72" s="3"/>
      <c r="I72" s="11"/>
      <c r="J72" s="11"/>
      <c r="K72" s="11"/>
      <c r="L72" s="3"/>
      <c r="M72" s="3"/>
    </row>
    <row r="73" spans="5:13">
      <c r="E73" s="10"/>
      <c r="F73" s="3"/>
      <c r="G73" s="10"/>
      <c r="H73" s="3"/>
      <c r="I73" s="11"/>
      <c r="J73" s="11"/>
      <c r="K73" s="11"/>
      <c r="L73" s="3"/>
      <c r="M73" s="3"/>
    </row>
    <row r="74" spans="5:13">
      <c r="E74" s="10"/>
      <c r="F74" s="3"/>
      <c r="G74" s="10"/>
      <c r="H74" s="3"/>
      <c r="I74" s="11"/>
      <c r="J74" s="11"/>
      <c r="K74" s="11"/>
      <c r="L74" s="3"/>
      <c r="M74" s="3"/>
    </row>
    <row r="75" spans="5:13">
      <c r="E75" s="10"/>
      <c r="F75" s="3"/>
      <c r="G75" s="10"/>
      <c r="H75" s="3"/>
      <c r="I75" s="11"/>
      <c r="J75" s="11"/>
      <c r="K75" s="11"/>
      <c r="L75" s="3"/>
      <c r="M75" s="3"/>
    </row>
    <row r="76" spans="5:13">
      <c r="E76" s="10"/>
      <c r="F76" s="3"/>
      <c r="G76" s="10"/>
      <c r="H76" s="3"/>
      <c r="I76" s="11"/>
      <c r="J76" s="11"/>
      <c r="K76" s="11"/>
      <c r="L76" s="3"/>
      <c r="M76" s="3"/>
    </row>
    <row r="77" spans="5:13">
      <c r="E77" s="10"/>
      <c r="F77" s="3"/>
      <c r="G77" s="10"/>
      <c r="H77" s="3"/>
      <c r="I77" s="11"/>
      <c r="J77" s="11"/>
      <c r="K77" s="11"/>
      <c r="L77" s="3"/>
      <c r="M77" s="3"/>
    </row>
    <row r="78" spans="5:13">
      <c r="E78" s="10"/>
      <c r="F78" s="3"/>
      <c r="G78" s="10"/>
      <c r="H78" s="3"/>
      <c r="I78" s="11"/>
      <c r="J78" s="11"/>
      <c r="K78" s="11"/>
      <c r="L78" s="3"/>
      <c r="M78" s="3"/>
    </row>
    <row r="79" spans="5:13">
      <c r="E79" s="10"/>
      <c r="F79" s="3"/>
      <c r="G79" s="10"/>
      <c r="H79" s="3"/>
      <c r="I79" s="11"/>
      <c r="J79" s="11"/>
      <c r="K79" s="11"/>
      <c r="L79" s="3"/>
      <c r="M79" s="3"/>
    </row>
    <row r="80" spans="5:13">
      <c r="E80" s="10"/>
      <c r="F80" s="3"/>
      <c r="G80" s="10"/>
      <c r="H80" s="3"/>
      <c r="I80" s="11"/>
      <c r="J80" s="11"/>
      <c r="K80" s="11"/>
      <c r="L80" s="3"/>
      <c r="M80" s="3"/>
    </row>
    <row r="81" spans="5:13">
      <c r="E81" s="10"/>
      <c r="F81" s="3"/>
      <c r="G81" s="10"/>
      <c r="H81" s="3"/>
      <c r="I81" s="11"/>
      <c r="J81" s="11"/>
      <c r="K81" s="11"/>
      <c r="L81" s="3"/>
      <c r="M81" s="3"/>
    </row>
    <row r="82" spans="5:13">
      <c r="E82" s="10"/>
      <c r="F82" s="3"/>
      <c r="G82" s="10"/>
      <c r="H82" s="3"/>
      <c r="I82" s="11"/>
      <c r="J82" s="11"/>
      <c r="K82" s="11"/>
      <c r="L82" s="3"/>
      <c r="M82" s="3"/>
    </row>
    <row r="83" spans="5:13">
      <c r="E83" s="10"/>
      <c r="F83" s="3"/>
      <c r="G83" s="10"/>
      <c r="H83" s="3"/>
      <c r="I83" s="11"/>
      <c r="J83" s="11"/>
      <c r="K83" s="11"/>
      <c r="L83" s="3"/>
      <c r="M83" s="3"/>
    </row>
    <row r="84" spans="5:13">
      <c r="E84" s="10"/>
      <c r="F84" s="3"/>
      <c r="G84" s="10"/>
      <c r="H84" s="3"/>
      <c r="I84" s="11"/>
      <c r="J84" s="11"/>
      <c r="K84" s="11"/>
      <c r="L84" s="3"/>
      <c r="M84" s="3"/>
    </row>
    <row r="85" spans="5:13">
      <c r="E85" s="10"/>
      <c r="F85" s="3"/>
      <c r="G85" s="10"/>
      <c r="H85" s="3"/>
      <c r="I85" s="11"/>
      <c r="J85" s="11"/>
      <c r="K85" s="11"/>
      <c r="L85" s="3"/>
      <c r="M85" s="3"/>
    </row>
    <row r="86" spans="5:13">
      <c r="E86" s="10"/>
      <c r="F86" s="3"/>
      <c r="G86" s="10"/>
      <c r="H86" s="3"/>
      <c r="I86" s="11"/>
      <c r="J86" s="11"/>
      <c r="K86" s="11"/>
      <c r="L86" s="3"/>
      <c r="M86" s="3"/>
    </row>
    <row r="87" spans="5:13">
      <c r="E87" s="10"/>
      <c r="F87" s="3"/>
      <c r="G87" s="10"/>
      <c r="H87" s="3"/>
      <c r="I87" s="11"/>
      <c r="J87" s="11"/>
      <c r="K87" s="11"/>
      <c r="L87" s="3"/>
      <c r="M87" s="3"/>
    </row>
    <row r="88" spans="5:13">
      <c r="E88" s="10"/>
      <c r="F88" s="3"/>
      <c r="G88" s="10"/>
      <c r="H88" s="3"/>
      <c r="I88" s="11"/>
      <c r="J88" s="11"/>
      <c r="K88" s="11"/>
      <c r="L88" s="3"/>
      <c r="M88" s="3"/>
    </row>
    <row r="89" spans="5:13">
      <c r="E89" s="10"/>
      <c r="F89" s="3"/>
      <c r="G89" s="10"/>
      <c r="H89" s="3"/>
      <c r="I89" s="11"/>
      <c r="J89" s="11"/>
      <c r="K89" s="11"/>
      <c r="L89" s="3"/>
      <c r="M89" s="3"/>
    </row>
    <row r="90" spans="5:13">
      <c r="E90" s="10"/>
      <c r="F90" s="3"/>
      <c r="G90" s="10"/>
      <c r="H90" s="3"/>
      <c r="I90" s="11"/>
      <c r="J90" s="11"/>
      <c r="K90" s="11"/>
      <c r="L90" s="3"/>
      <c r="M90" s="3"/>
    </row>
    <row r="91" spans="5:13">
      <c r="E91" s="10"/>
      <c r="F91" s="3"/>
      <c r="G91" s="10"/>
      <c r="H91" s="3"/>
      <c r="I91" s="11"/>
      <c r="J91" s="11"/>
      <c r="K91" s="11"/>
      <c r="L91" s="3"/>
      <c r="M91" s="3"/>
    </row>
    <row r="92" spans="5:13">
      <c r="E92" s="10"/>
      <c r="F92" s="3"/>
      <c r="G92" s="10"/>
      <c r="H92" s="3"/>
      <c r="I92" s="11"/>
      <c r="J92" s="11"/>
      <c r="K92" s="11"/>
      <c r="L92" s="3"/>
      <c r="M92" s="3"/>
    </row>
    <row r="93" spans="5:13">
      <c r="E93" s="10"/>
      <c r="F93" s="3"/>
      <c r="G93" s="10"/>
      <c r="H93" s="3"/>
      <c r="I93" s="11"/>
      <c r="J93" s="11"/>
      <c r="K93" s="11"/>
      <c r="L93" s="3"/>
      <c r="M93" s="3"/>
    </row>
    <row r="94" spans="5:13">
      <c r="E94" s="10"/>
      <c r="F94" s="3"/>
      <c r="G94" s="10"/>
      <c r="H94" s="3"/>
      <c r="I94" s="11"/>
      <c r="J94" s="11"/>
      <c r="K94" s="11"/>
      <c r="L94" s="3"/>
      <c r="M94" s="3"/>
    </row>
    <row r="95" spans="5:13">
      <c r="E95" s="10"/>
      <c r="F95" s="3"/>
      <c r="G95" s="10"/>
      <c r="H95" s="3"/>
      <c r="I95" s="11"/>
      <c r="J95" s="11"/>
      <c r="K95" s="11"/>
      <c r="L95" s="3"/>
      <c r="M95" s="3"/>
    </row>
    <row r="96" spans="5:13">
      <c r="E96" s="10"/>
      <c r="F96" s="3"/>
      <c r="G96" s="10"/>
      <c r="H96" s="3"/>
      <c r="I96" s="11"/>
      <c r="J96" s="11"/>
      <c r="K96" s="11"/>
      <c r="L96" s="3"/>
      <c r="M96" s="3"/>
    </row>
    <row r="97" spans="5:13">
      <c r="E97" s="10"/>
      <c r="F97" s="3"/>
      <c r="G97" s="10"/>
      <c r="H97" s="3"/>
      <c r="I97" s="11"/>
      <c r="J97" s="11"/>
      <c r="K97" s="11"/>
      <c r="L97" s="3"/>
      <c r="M97" s="3"/>
    </row>
    <row r="98" spans="5:13">
      <c r="E98" s="10"/>
      <c r="F98" s="3"/>
      <c r="G98" s="10"/>
      <c r="H98" s="3"/>
      <c r="I98" s="11"/>
      <c r="J98" s="11"/>
      <c r="K98" s="11"/>
      <c r="L98" s="3"/>
      <c r="M98" s="3"/>
    </row>
    <row r="99" spans="5:13">
      <c r="E99" s="10"/>
      <c r="F99" s="3"/>
      <c r="G99" s="10"/>
      <c r="H99" s="3"/>
      <c r="I99" s="11"/>
      <c r="J99" s="11"/>
      <c r="K99" s="11"/>
      <c r="L99" s="3"/>
      <c r="M99" s="3"/>
    </row>
    <row r="100" spans="5:13">
      <c r="E100" s="10"/>
      <c r="F100" s="3"/>
      <c r="G100" s="10"/>
      <c r="H100" s="3"/>
      <c r="I100" s="11"/>
      <c r="J100" s="11"/>
      <c r="K100" s="11"/>
      <c r="L100" s="3"/>
      <c r="M100" s="3"/>
    </row>
    <row r="101" spans="5:13">
      <c r="E101" s="10"/>
      <c r="F101" s="3"/>
      <c r="G101" s="10"/>
      <c r="H101" s="3"/>
      <c r="I101" s="11"/>
      <c r="J101" s="11"/>
      <c r="K101" s="11"/>
      <c r="L101" s="3"/>
      <c r="M101" s="3"/>
    </row>
    <row r="102" spans="5:13">
      <c r="E102" s="10"/>
      <c r="F102" s="3"/>
      <c r="G102" s="10"/>
      <c r="H102" s="3"/>
      <c r="I102" s="11"/>
      <c r="J102" s="11"/>
      <c r="K102" s="11"/>
      <c r="L102" s="3"/>
      <c r="M102" s="3"/>
    </row>
    <row r="103" spans="5:13">
      <c r="E103" s="10"/>
      <c r="F103" s="3"/>
      <c r="G103" s="10"/>
      <c r="H103" s="3"/>
      <c r="I103" s="11"/>
      <c r="J103" s="11"/>
      <c r="K103" s="11"/>
      <c r="L103" s="3"/>
      <c r="M103" s="3"/>
    </row>
    <row r="104" spans="5:13">
      <c r="E104" s="10"/>
      <c r="F104" s="3"/>
      <c r="G104" s="10"/>
      <c r="H104" s="3"/>
      <c r="I104" s="11"/>
      <c r="J104" s="11"/>
      <c r="K104" s="11"/>
      <c r="L104" s="3"/>
      <c r="M104" s="3"/>
    </row>
    <row r="105" spans="5:13">
      <c r="E105" s="10"/>
      <c r="F105" s="3"/>
      <c r="G105" s="10"/>
      <c r="H105" s="3"/>
      <c r="I105" s="11"/>
      <c r="J105" s="11"/>
      <c r="K105" s="11"/>
      <c r="L105" s="3"/>
      <c r="M105" s="3"/>
    </row>
    <row r="106" spans="5:13">
      <c r="E106" s="10"/>
      <c r="F106" s="3"/>
      <c r="G106" s="10"/>
      <c r="H106" s="3"/>
      <c r="I106" s="11"/>
      <c r="J106" s="11"/>
      <c r="K106" s="11"/>
      <c r="L106" s="3"/>
      <c r="M106" s="3"/>
    </row>
    <row r="107" spans="5:13">
      <c r="E107" s="10"/>
      <c r="F107" s="3"/>
      <c r="G107" s="10"/>
      <c r="H107" s="3"/>
      <c r="I107" s="11"/>
      <c r="J107" s="11"/>
      <c r="K107" s="11"/>
      <c r="L107" s="3"/>
      <c r="M107" s="3"/>
    </row>
    <row r="108" spans="5:13">
      <c r="E108" s="10"/>
      <c r="F108" s="3"/>
      <c r="G108" s="10"/>
      <c r="H108" s="3"/>
      <c r="I108" s="11"/>
      <c r="J108" s="11"/>
      <c r="K108" s="11"/>
      <c r="L108" s="3"/>
      <c r="M108" s="3"/>
    </row>
    <row r="109" spans="5:13">
      <c r="E109" s="10"/>
      <c r="F109" s="3"/>
      <c r="G109" s="10"/>
      <c r="H109" s="3"/>
      <c r="I109" s="11"/>
      <c r="J109" s="11"/>
      <c r="K109" s="11"/>
      <c r="L109" s="3"/>
      <c r="M109" s="3"/>
    </row>
    <row r="110" spans="5:13">
      <c r="E110" s="10"/>
      <c r="F110" s="3"/>
      <c r="G110" s="10"/>
      <c r="H110" s="3"/>
      <c r="I110" s="11"/>
      <c r="J110" s="11"/>
      <c r="K110" s="11"/>
      <c r="L110" s="3"/>
      <c r="M110" s="3"/>
    </row>
    <row r="111" spans="5:13">
      <c r="E111" s="10"/>
      <c r="F111" s="3"/>
      <c r="G111" s="10"/>
      <c r="H111" s="3"/>
      <c r="I111" s="11"/>
      <c r="J111" s="11"/>
      <c r="K111" s="11"/>
      <c r="L111" s="3"/>
      <c r="M111" s="3"/>
    </row>
  </sheetData>
  <phoneticPr fontId="0" type="noConversion"/>
  <dataValidations count="2">
    <dataValidation type="list" allowBlank="1" showInputMessage="1" showErrorMessage="1" sqref="C19" xr:uid="{00000000-0002-0000-0000-000000000000}">
      <formula1>"0,1,2,3,4"</formula1>
    </dataValidation>
    <dataValidation type="list" allowBlank="1" showInputMessage="1" showErrorMessage="1" sqref="C17" xr:uid="{00000000-0002-0000-0000-000001000000}">
      <formula1>"1,2,4"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CONVEX</vt:lpstr>
      <vt:lpstr>CONVEX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Fermin</dc:creator>
  <cp:lastModifiedBy>Rafael Nicolas Fermin Cota</cp:lastModifiedBy>
  <dcterms:created xsi:type="dcterms:W3CDTF">2006-11-20T19:52:04Z</dcterms:created>
  <dcterms:modified xsi:type="dcterms:W3CDTF">2022-04-12T15:07:27Z</dcterms:modified>
</cp:coreProperties>
</file>