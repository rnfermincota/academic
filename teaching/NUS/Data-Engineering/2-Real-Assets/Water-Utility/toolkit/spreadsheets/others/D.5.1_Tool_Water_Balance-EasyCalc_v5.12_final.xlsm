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hidePivotFieldList="1" defaultThemeVersion="124226"/>
  <mc:AlternateContent xmlns:mc="http://schemas.openxmlformats.org/markup-compatibility/2006">
    <mc:Choice Requires="x15">
      <x15ac:absPath xmlns:x15ac="http://schemas.microsoft.com/office/spreadsheetml/2010/11/ac" url="C:\Users\rolan\Documents\WB EasyCalc\"/>
    </mc:Choice>
  </mc:AlternateContent>
  <bookViews>
    <workbookView xWindow="10800" yWindow="-15" windowWidth="10845" windowHeight="9210" tabRatio="744"/>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 name="OLE_LINK1" localSheetId="18">'Language 2'!$U$150</definedName>
  </definedNames>
  <calcPr calcId="152511"/>
</workbook>
</file>

<file path=xl/calcChain.xml><?xml version="1.0" encoding="utf-8"?>
<calcChain xmlns="http://schemas.openxmlformats.org/spreadsheetml/2006/main">
  <c r="M34" i="17" l="1"/>
  <c r="K34" i="17"/>
  <c r="C41" i="28" l="1"/>
  <c r="F44" i="27" l="1"/>
  <c r="J44" i="27"/>
  <c r="G44" i="27"/>
  <c r="C202" i="18"/>
  <c r="L6" i="10" l="1"/>
  <c r="P6" i="10" s="1"/>
  <c r="Q6" i="10" s="1"/>
  <c r="L10" i="10"/>
  <c r="L14" i="10"/>
  <c r="L18" i="10"/>
  <c r="L19" i="10"/>
  <c r="L20" i="10"/>
  <c r="L21" i="10"/>
  <c r="L22" i="10"/>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AC14" i="31"/>
  <c r="G13" i="22"/>
  <c r="C183" i="18"/>
  <c r="AC14" i="30"/>
  <c r="C14" i="28"/>
  <c r="AC14" i="29"/>
  <c r="AF1" i="29"/>
  <c r="K35" i="22"/>
  <c r="D79" i="7"/>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D37" i="6" s="1"/>
  <c r="C23" i="28" s="1"/>
  <c r="J21" i="6"/>
  <c r="H21" i="6"/>
  <c r="H30" i="6" s="1"/>
  <c r="M15" i="6"/>
  <c r="N15" i="6" s="1"/>
  <c r="M7" i="6"/>
  <c r="N7" i="6" s="1"/>
  <c r="R40" i="12"/>
  <c r="S40" i="12" s="1"/>
  <c r="F34" i="12"/>
  <c r="L34" i="12"/>
  <c r="R34" i="12"/>
  <c r="S34" i="12"/>
  <c r="F32" i="12"/>
  <c r="L32" i="12"/>
  <c r="R32" i="12"/>
  <c r="S32" i="12"/>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2" i="10"/>
  <c r="Q22" i="10"/>
  <c r="P21" i="10"/>
  <c r="Q21" i="10"/>
  <c r="P20" i="10"/>
  <c r="Q20" i="10"/>
  <c r="P19" i="10"/>
  <c r="Q19" i="10"/>
  <c r="P18" i="10"/>
  <c r="Q18" i="10"/>
  <c r="P14" i="10"/>
  <c r="Q14" i="10" s="1"/>
  <c r="P10" i="10"/>
  <c r="Q10" i="10" s="1"/>
  <c r="D32" i="9"/>
  <c r="P23" i="9"/>
  <c r="O23" i="9"/>
  <c r="O22" i="9"/>
  <c r="P22" i="9"/>
  <c r="O21" i="9"/>
  <c r="P21" i="9"/>
  <c r="O20" i="9"/>
  <c r="P20" i="9"/>
  <c r="P19" i="9"/>
  <c r="O19" i="9"/>
  <c r="O18" i="9"/>
  <c r="P18" i="9"/>
  <c r="O17" i="9"/>
  <c r="P17" i="9"/>
  <c r="O16" i="9"/>
  <c r="P16" i="9"/>
  <c r="P15" i="9"/>
  <c r="O15" i="9"/>
  <c r="O14" i="9"/>
  <c r="P14" i="9"/>
  <c r="O13" i="9"/>
  <c r="P13" i="9"/>
  <c r="O12" i="9"/>
  <c r="P12" i="9"/>
  <c r="O11" i="9"/>
  <c r="P11" i="9"/>
  <c r="O10" i="9"/>
  <c r="P10" i="9"/>
  <c r="O9" i="9"/>
  <c r="P9" i="9"/>
  <c r="O8" i="9"/>
  <c r="P8" i="9"/>
  <c r="P7" i="9"/>
  <c r="O7" i="9"/>
  <c r="H28" i="8"/>
  <c r="AC9" i="29" s="1"/>
  <c r="D28" i="8"/>
  <c r="J70" i="7"/>
  <c r="K70" i="7"/>
  <c r="K69" i="7"/>
  <c r="J69" i="7"/>
  <c r="J68" i="7"/>
  <c r="K68" i="7"/>
  <c r="J67" i="7"/>
  <c r="K67" i="7"/>
  <c r="J66" i="7"/>
  <c r="K66" i="7"/>
  <c r="K65" i="7"/>
  <c r="J65" i="7"/>
  <c r="J64" i="7"/>
  <c r="K64" i="7"/>
  <c r="J63" i="7"/>
  <c r="K63" i="7"/>
  <c r="J62" i="7"/>
  <c r="K62" i="7"/>
  <c r="K61" i="7"/>
  <c r="J61" i="7"/>
  <c r="J60" i="7"/>
  <c r="K60" i="7"/>
  <c r="J59" i="7"/>
  <c r="K59" i="7"/>
  <c r="J58" i="7"/>
  <c r="K58" i="7"/>
  <c r="K57" i="7"/>
  <c r="J57" i="7"/>
  <c r="J56" i="7"/>
  <c r="K56" i="7"/>
  <c r="J55" i="7"/>
  <c r="K55" i="7"/>
  <c r="J54" i="7"/>
  <c r="K54" i="7"/>
  <c r="K53" i="7"/>
  <c r="J53" i="7"/>
  <c r="J52" i="7"/>
  <c r="K52" i="7"/>
  <c r="J51" i="7"/>
  <c r="K51" i="7"/>
  <c r="J50" i="7"/>
  <c r="K50" i="7"/>
  <c r="K49" i="7"/>
  <c r="J49" i="7"/>
  <c r="J48" i="7"/>
  <c r="K48" i="7"/>
  <c r="J47" i="7"/>
  <c r="K47" i="7"/>
  <c r="J46" i="7"/>
  <c r="K46" i="7"/>
  <c r="K45" i="7"/>
  <c r="J45" i="7"/>
  <c r="J44" i="7"/>
  <c r="K44" i="7"/>
  <c r="J43" i="7"/>
  <c r="K43" i="7"/>
  <c r="J42" i="7"/>
  <c r="K42" i="7"/>
  <c r="K41" i="7"/>
  <c r="J41" i="7"/>
  <c r="J40" i="7"/>
  <c r="K40" i="7"/>
  <c r="J39" i="7"/>
  <c r="K39" i="7"/>
  <c r="J38" i="7"/>
  <c r="K38" i="7"/>
  <c r="K37" i="7"/>
  <c r="J37" i="7"/>
  <c r="J36" i="7"/>
  <c r="K36" i="7"/>
  <c r="J35" i="7"/>
  <c r="K35" i="7"/>
  <c r="J34" i="7"/>
  <c r="K34" i="7"/>
  <c r="K33" i="7"/>
  <c r="J33" i="7"/>
  <c r="J32" i="7"/>
  <c r="K32" i="7"/>
  <c r="J31" i="7"/>
  <c r="K31" i="7"/>
  <c r="J30" i="7"/>
  <c r="K30" i="7"/>
  <c r="K29" i="7"/>
  <c r="J29" i="7"/>
  <c r="J28" i="7"/>
  <c r="K28" i="7"/>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AC9" i="30"/>
  <c r="C13" i="28" s="1"/>
  <c r="AC4" i="31"/>
  <c r="AC4" i="29"/>
  <c r="AC4" i="30"/>
  <c r="C12" i="28" s="1"/>
  <c r="B19" i="31"/>
  <c r="B19" i="29"/>
  <c r="B19" i="30"/>
  <c r="F33" i="27" s="1"/>
  <c r="F38" i="12"/>
  <c r="L38" i="12" s="1"/>
  <c r="R38" i="12" s="1"/>
  <c r="S38" i="12" s="1"/>
  <c r="D35" i="6"/>
  <c r="R15" i="13" s="1"/>
  <c r="O6" i="9"/>
  <c r="P6" i="9" s="1"/>
  <c r="P25" i="9" s="1"/>
  <c r="O25" i="9" s="1"/>
  <c r="C3" i="28"/>
  <c r="K17" i="22" l="1"/>
  <c r="K20" i="22" s="1"/>
  <c r="T8" i="30"/>
  <c r="F30" i="27" s="1"/>
  <c r="F50" i="27" s="1"/>
  <c r="T8" i="29"/>
  <c r="AY8" i="29" s="1"/>
  <c r="K15" i="22"/>
  <c r="K22" i="22"/>
  <c r="K13" i="22"/>
  <c r="F27" i="27"/>
  <c r="I27" i="27" s="1"/>
  <c r="M18" i="6"/>
  <c r="N18" i="6" s="1"/>
  <c r="N22" i="6" s="1"/>
  <c r="M24" i="6" s="1"/>
  <c r="J24" i="6" s="1"/>
  <c r="H28" i="6" s="1"/>
  <c r="AC9" i="31"/>
  <c r="T8" i="31" s="1"/>
  <c r="AY8" i="31" s="1"/>
  <c r="AY24" i="31" s="1"/>
  <c r="F47" i="13" s="1"/>
  <c r="C7" i="28"/>
  <c r="AC19" i="31"/>
  <c r="J25" i="9"/>
  <c r="H30" i="9" s="1"/>
  <c r="AC19" i="29"/>
  <c r="T16" i="29" s="1"/>
  <c r="AC19" i="30"/>
  <c r="K72" i="7"/>
  <c r="J72" i="7" s="1"/>
  <c r="F72" i="7" s="1"/>
  <c r="B21" i="29" s="1"/>
  <c r="BL25" i="29" s="1"/>
  <c r="BM25" i="29" s="1"/>
  <c r="AY24" i="29"/>
  <c r="S42" i="12"/>
  <c r="R42" i="12" s="1"/>
  <c r="L49" i="12"/>
  <c r="C129" i="11"/>
  <c r="D19" i="16" s="1"/>
  <c r="C5" i="11"/>
  <c r="C128" i="11"/>
  <c r="C64" i="1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AC13" i="30"/>
  <c r="A14" i="28" s="1"/>
  <c r="L7" i="13"/>
  <c r="D49" i="12"/>
  <c r="L35" i="13"/>
  <c r="J2" i="32"/>
  <c r="L15" i="13"/>
  <c r="H4" i="7"/>
  <c r="B2" i="13"/>
  <c r="F32" i="9"/>
  <c r="AC28" i="29"/>
  <c r="B33" i="5"/>
  <c r="E2" i="20"/>
  <c r="AY25" i="29"/>
  <c r="K14" i="29"/>
  <c r="BN5" i="29"/>
  <c r="AC23" i="31"/>
  <c r="J4" i="21"/>
  <c r="M2" i="22"/>
  <c r="G38" i="27"/>
  <c r="L2" i="6"/>
  <c r="E2" i="11"/>
  <c r="B29" i="21"/>
  <c r="N23" i="13"/>
  <c r="H4" i="5"/>
  <c r="B7" i="32"/>
  <c r="B27" i="10"/>
  <c r="AC30" i="29"/>
  <c r="N4" i="10"/>
  <c r="P2" i="17"/>
  <c r="D2" i="15"/>
  <c r="K2" i="16"/>
  <c r="P4" i="12"/>
  <c r="B7" i="16"/>
  <c r="F26" i="6"/>
  <c r="BN5" i="31"/>
  <c r="L4" i="9"/>
  <c r="B27" i="13"/>
  <c r="A30" i="28" s="1"/>
  <c r="B2" i="10"/>
  <c r="L31" i="10"/>
  <c r="AC24" i="31" s="1"/>
  <c r="Q24" i="10"/>
  <c r="P24" i="10" s="1"/>
  <c r="R17" i="13"/>
  <c r="H39" i="6"/>
  <c r="R19" i="13" s="1"/>
  <c r="I7" i="21"/>
  <c r="H33" i="21" s="1"/>
  <c r="C24" i="28"/>
  <c r="F33" i="5"/>
  <c r="F24" i="27"/>
  <c r="I24" i="27" s="1"/>
  <c r="AC25" i="29" l="1"/>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C39" i="28"/>
  <c r="F56" i="27"/>
  <c r="AO20" i="29"/>
  <c r="AO20" i="30"/>
  <c r="AO20" i="31" s="1"/>
  <c r="T16" i="30"/>
  <c r="C15" i="28"/>
  <c r="T16" i="31"/>
  <c r="K12" i="31" s="1"/>
  <c r="G15" i="22"/>
  <c r="T20" i="29"/>
  <c r="K12" i="29"/>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N42" i="12"/>
  <c r="AC29" i="31"/>
  <c r="T26" i="31" s="1"/>
  <c r="S32" i="13" s="1"/>
  <c r="AC29" i="30"/>
  <c r="AC29" i="29"/>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G20" i="22"/>
  <c r="AC24" i="30"/>
  <c r="F7" i="27"/>
  <c r="F11" i="13"/>
  <c r="C25" i="28"/>
  <c r="F29" i="5"/>
  <c r="F31" i="5"/>
  <c r="H31" i="21"/>
  <c r="L9" i="13" s="1"/>
  <c r="F9" i="13"/>
  <c r="F9" i="27"/>
  <c r="C26" i="28"/>
  <c r="H29" i="21"/>
  <c r="T17" i="13"/>
  <c r="J39" i="6"/>
  <c r="T19" i="13" s="1"/>
  <c r="H26" i="6"/>
  <c r="AY24" i="30" l="1"/>
  <c r="L27" i="10"/>
  <c r="AO25" i="29"/>
  <c r="BJ25" i="29" s="1"/>
  <c r="BK25" i="29" s="1"/>
  <c r="AO25" i="30"/>
  <c r="AO25" i="31" s="1"/>
  <c r="BJ25" i="31" s="1"/>
  <c r="BK25" i="31" s="1"/>
  <c r="T26" i="29"/>
  <c r="A18" i="28"/>
  <c r="S19" i="13"/>
  <c r="U19" i="13" s="1"/>
  <c r="F36" i="27"/>
  <c r="C21" i="28"/>
  <c r="AY26" i="30"/>
  <c r="AY26" i="31" s="1"/>
  <c r="C8" i="28"/>
  <c r="K12" i="30"/>
  <c r="T20" i="30"/>
  <c r="T20" i="31" s="1"/>
  <c r="K15" i="29"/>
  <c r="BL15" i="29" s="1"/>
  <c r="BM15" i="29" s="1"/>
  <c r="BM34" i="29" s="1"/>
  <c r="BL34" i="29" s="1"/>
  <c r="K29" i="29"/>
  <c r="K29" i="31"/>
  <c r="T34" i="31" s="1"/>
  <c r="S30" i="13"/>
  <c r="C17" i="28"/>
  <c r="G19" i="22"/>
  <c r="AO30" i="30"/>
  <c r="AO30" i="31" s="1"/>
  <c r="BJ30" i="31" s="1"/>
  <c r="BK30" i="31" s="1"/>
  <c r="AO30" i="29"/>
  <c r="BJ30" i="29" s="1"/>
  <c r="BK30" i="29" s="1"/>
  <c r="T26" i="30"/>
  <c r="F47" i="27" s="1"/>
  <c r="L47" i="12"/>
  <c r="L45" i="12"/>
  <c r="B18" i="28"/>
  <c r="B15" i="28"/>
  <c r="B7" i="28"/>
  <c r="B8" i="28" s="1"/>
  <c r="B9" i="28" s="1"/>
  <c r="B10" i="28"/>
  <c r="B12" i="28"/>
  <c r="B21" i="28"/>
  <c r="B4" i="28"/>
  <c r="B17" i="28"/>
  <c r="B20" i="28"/>
  <c r="B13" i="28"/>
  <c r="B14" i="28"/>
  <c r="B5" i="28"/>
  <c r="B16" i="28"/>
  <c r="G17" i="22"/>
  <c r="F37" i="13"/>
  <c r="C35" i="28" s="1"/>
  <c r="S17" i="13"/>
  <c r="U17" i="13" s="1"/>
  <c r="C16" i="28"/>
  <c r="J9" i="13"/>
  <c r="F51" i="13"/>
  <c r="Z69" i="13"/>
  <c r="Z71" i="13"/>
  <c r="J11" i="13"/>
  <c r="AA71" i="13"/>
  <c r="L11" i="13"/>
  <c r="AA68" i="13"/>
  <c r="AA69" i="13"/>
  <c r="AA70" i="13"/>
  <c r="Z70" i="13"/>
  <c r="Z68" i="13"/>
  <c r="S15" i="13"/>
  <c r="U15" i="13" s="1"/>
  <c r="F19" i="13"/>
  <c r="BJ25" i="30" l="1"/>
  <c r="BK25" i="30" s="1"/>
  <c r="BK32" i="29"/>
  <c r="BJ32" i="29" s="1"/>
  <c r="T29" i="29" s="1"/>
  <c r="BL30" i="29" s="1"/>
  <c r="BM30" i="29" s="1"/>
  <c r="BM35" i="29" s="1"/>
  <c r="BL35" i="29" s="1"/>
  <c r="U20" i="13"/>
  <c r="H19" i="13" s="1"/>
  <c r="F41" i="13"/>
  <c r="C37" i="28" s="1"/>
  <c r="F39" i="13"/>
  <c r="C36" i="28" s="1"/>
  <c r="H51" i="13"/>
  <c r="J51" i="13" s="1"/>
  <c r="H47" i="13"/>
  <c r="S34" i="13"/>
  <c r="C4" i="28"/>
  <c r="K15" i="30"/>
  <c r="K15" i="31" s="1"/>
  <c r="K29" i="30"/>
  <c r="T34" i="30" s="1"/>
  <c r="K31" i="29"/>
  <c r="T34" i="29"/>
  <c r="C9" i="28"/>
  <c r="BK32" i="31"/>
  <c r="BJ32" i="31" s="1"/>
  <c r="BJ30" i="30"/>
  <c r="BK30" i="30" s="1"/>
  <c r="F38" i="27"/>
  <c r="P47" i="13"/>
  <c r="N47" i="13"/>
  <c r="BK32" i="30" l="1"/>
  <c r="BJ32" i="30" s="1"/>
  <c r="T29" i="30" s="1"/>
  <c r="BL30" i="30" s="1"/>
  <c r="BM30" i="30" s="1"/>
  <c r="L51" i="13"/>
  <c r="F17" i="27"/>
  <c r="I47" i="27" s="1"/>
  <c r="I30" i="27" s="1"/>
  <c r="I50" i="27" s="1"/>
  <c r="AH35" i="29"/>
  <c r="BL15" i="30"/>
  <c r="BM15" i="30" s="1"/>
  <c r="BM34" i="30" s="1"/>
  <c r="BL34" i="30" s="1"/>
  <c r="K31" i="30" s="1"/>
  <c r="K31" i="31" s="1"/>
  <c r="H49" i="13"/>
  <c r="L47" i="13"/>
  <c r="J47" i="13"/>
  <c r="T30" i="13"/>
  <c r="U30" i="13" s="1"/>
  <c r="BL15" i="31"/>
  <c r="BM15" i="31" s="1"/>
  <c r="BM34" i="31" s="1"/>
  <c r="BL34" i="31" s="1"/>
  <c r="F17" i="13"/>
  <c r="D24" i="22"/>
  <c r="G22" i="22" s="1"/>
  <c r="G31" i="22" s="1"/>
  <c r="F49" i="13" s="1"/>
  <c r="F41" i="27"/>
  <c r="C10" i="28"/>
  <c r="C18" i="28" s="1"/>
  <c r="C5" i="28"/>
  <c r="T29" i="31"/>
  <c r="T32" i="13" s="1"/>
  <c r="L19" i="13"/>
  <c r="J19" i="13"/>
  <c r="BM35" i="30" l="1"/>
  <c r="BL35" i="30" s="1"/>
  <c r="AH35" i="30" s="1"/>
  <c r="H17" i="13" s="1"/>
  <c r="J17" i="13" s="1"/>
  <c r="F27" i="13"/>
  <c r="F25" i="13"/>
  <c r="F31" i="13"/>
  <c r="C32" i="28" s="1"/>
  <c r="L49" i="13"/>
  <c r="F59" i="27"/>
  <c r="J49" i="13"/>
  <c r="C40" i="28"/>
  <c r="BL30" i="31"/>
  <c r="BM30" i="31" s="1"/>
  <c r="BM35" i="31" s="1"/>
  <c r="BL35" i="31" s="1"/>
  <c r="U32" i="13"/>
  <c r="U34" i="13" s="1"/>
  <c r="H37" i="13" s="1"/>
  <c r="H39" i="13"/>
  <c r="H41" i="13"/>
  <c r="H25" i="13" l="1"/>
  <c r="J25" i="13" s="1"/>
  <c r="L17" i="13"/>
  <c r="AH35" i="31"/>
  <c r="H27" i="13" s="1"/>
  <c r="J27" i="13" s="1"/>
  <c r="F15" i="27"/>
  <c r="I41" i="27" s="1"/>
  <c r="I36" i="27" s="1"/>
  <c r="N27" i="13"/>
  <c r="P27" i="13"/>
  <c r="C29" i="28"/>
  <c r="F29" i="13"/>
  <c r="C31" i="28" s="1"/>
  <c r="C30" i="28"/>
  <c r="L39" i="13"/>
  <c r="J39" i="13"/>
  <c r="L37" i="13"/>
  <c r="J37" i="13"/>
  <c r="J41" i="13"/>
  <c r="L41" i="13"/>
  <c r="L25" i="13" l="1"/>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<sst xmlns="http://schemas.openxmlformats.org/spreadsheetml/2006/main" count="4821" uniqueCount="3463">
  <si>
    <t>Albanian</t>
  </si>
  <si>
    <t>Fillimi</t>
  </si>
  <si>
    <t>Bilanci i ujit</t>
  </si>
  <si>
    <t>Treguesit e performances</t>
  </si>
  <si>
    <t>Të dhënat e rrjetit</t>
  </si>
  <si>
    <t>Presioni</t>
  </si>
  <si>
    <t>Konsumi i faturuar</t>
  </si>
  <si>
    <t>Konsumi i pa-faturuar</t>
  </si>
  <si>
    <t>Konsumi ilegal</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</si>
  <si>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</si>
  <si>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</si>
  <si>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</si>
  <si>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</si>
  <si>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</si>
  <si>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</si>
  <si>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</si>
  <si>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</si>
  <si>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pa-faturuar</t>
  </si>
  <si>
    <t>Konsumi i matur i pa-faturuar</t>
  </si>
  <si>
    <t>Pasaktësitë e ujëmatësve të konsumatorëve dhe gabimi në trajtimin e të dhënave </t>
  </si>
  <si>
    <t>Uji i faturuar</t>
  </si>
  <si>
    <t>Uji i pa-faturuar</t>
  </si>
  <si>
    <t>Margjina e gabimit [+/-]</t>
  </si>
  <si>
    <t>m3/ditë</t>
  </si>
  <si>
    <t>Vlerësimi më i mirë</t>
  </si>
  <si>
    <t>Margjina e gabimit [+/- %]</t>
  </si>
  <si>
    <t>Kufiri i poshtëm</t>
  </si>
  <si>
    <t>Kufiri i sipërm</t>
  </si>
  <si>
    <t>Niveli i shërbimit</t>
  </si>
  <si>
    <t>Sasia e humbjeve fizike</t>
  </si>
  <si>
    <t>Treguesit e performances financiare</t>
  </si>
  <si>
    <t>Gjendja në shtetet e zhvilluara</t>
  </si>
  <si>
    <t>Gjendja në shtetet në zhvillim</t>
  </si>
  <si>
    <t>Koha mesatare e furnizimit [orë/ditë]</t>
  </si>
  <si>
    <t>Presioni mesatar [m]</t>
  </si>
  <si>
    <t xml:space="preserve">SAHF - Sasia aktuale vjetore e humbjeve fizike </t>
  </si>
  <si>
    <t>MAHF - Sasia minimale e arritshme e humbjeve fizike [m3/ditë]</t>
  </si>
  <si>
    <t>Indeksi i rrjedhjeve infrastrukturore (IRI)</t>
  </si>
  <si>
    <t>Humbjet komerciale të shprehura në % të konsumit të autorizuar</t>
  </si>
  <si>
    <t>Sasia e Ujit të pa-faturuar shprehur në % të vëllimit hyrës në sistem</t>
  </si>
  <si>
    <t>Vlera e Ujit të pa-faturuar e shprehur në % të shpenzimeve operative vjetore</t>
  </si>
  <si>
    <t>Tubat kryesor të distribucionit dhe transmisionit</t>
  </si>
  <si>
    <t>Kyçjet në shërbime</t>
  </si>
  <si>
    <t>Përshkrimi</t>
  </si>
  <si>
    <t>Gjatësia [km]</t>
  </si>
  <si>
    <t>Numri</t>
  </si>
  <si>
    <t>Totali [km]</t>
  </si>
  <si>
    <t>Nënvlerësimi i mundshëm</t>
  </si>
  <si>
    <t>Gjatësia e tubit [km] </t>
  </si>
  <si>
    <t>Minimumi</t>
  </si>
  <si>
    <t>Maksimumi</t>
  </si>
  <si>
    <t>Numri i vlerësuar i kyçjeve të paligjshme</t>
  </si>
  <si>
    <t>Numri i kyçjeve</t>
  </si>
  <si>
    <t>Presioni mesatar</t>
  </si>
  <si>
    <t>Furnizimi me ndërprerje</t>
  </si>
  <si>
    <t>Numri i përafërt i kyçjeve</t>
  </si>
  <si>
    <t>Burimi i ujit</t>
  </si>
  <si>
    <t>Vëllimi hyrës në sistem [m3]</t>
  </si>
  <si>
    <t>Të dhënat financiare</t>
  </si>
  <si>
    <t>Tarifa mesatare</t>
  </si>
  <si>
    <t>Prodhimi variabël dhe kostoja e distribuimit (kostoja margjinale e ujit)</t>
  </si>
  <si>
    <t> Për m3</t>
  </si>
  <si>
    <t> Valuta</t>
  </si>
  <si>
    <t>Komponentët e Ujit të pa-faturuar për t’u vlerësuar sipas (i) Tarifës mesatare - nëse uji mund të shitet ose (ii) Kostos së prodhimit dhe distribuimit nëse zvogëlimi i komponentit të UPF do të rezultonte vetëm në uljen e vëllimit hyrës në sistem. Për tarifën mesatare inserto 1, për koston e prodhimit dhe të distribuimit inserto 2.</t>
  </si>
  <si>
    <t>Komponenti i UPF</t>
  </si>
  <si>
    <t>Vlera vjetore</t>
  </si>
  <si>
    <t>Vlera totale e UPF</t>
  </si>
  <si>
    <t>Shpenzimet operative vjetore (pa zhvlerësim)</t>
  </si>
  <si>
    <t>Furnizimi me shumicë i ujit (Export)</t>
  </si>
  <si>
    <t>[m3] </t>
  </si>
  <si>
    <t>Numri i vlerësuar </t>
  </si>
  <si>
    <t>Persona për shtëpi </t>
  </si>
  <si>
    <t>Leximi më i ulët i ujëmatësit </t>
  </si>
  <si>
    <t>% e vlerësuar e leximit më të ulët të ujëmatësit </t>
  </si>
  <si>
    <t>Konsumi i matur i faturuar (pa furnizimin me shumicë) </t>
  </si>
  <si>
    <t>Furnizimi i matur me shumicë (Export) </t>
  </si>
  <si>
    <t>Konsumi i matur i pa-faturuar (pa furnizimin me shumicë) </t>
  </si>
  <si>
    <t>Furnizimi i ujit me shumicë (Export)</t>
  </si>
  <si>
    <t>Praktikat e leximit të gabuar të ujëmatësve </t>
  </si>
  <si>
    <t>Konsumi i pa-matur i pa-faturuar [m3]</t>
  </si>
  <si>
    <t>Konsumi [m3/ditë] </t>
  </si>
  <si>
    <t>Kyçjet ilegale - shtëpiake </t>
  </si>
  <si>
    <t>Kyçjet ilegale - të tjera </t>
  </si>
  <si>
    <t>Manipulimet e ujëmatësve, bajpaset, etj. te konsumatorët e regjistruar</t>
  </si>
  <si>
    <t>Diagramet </t>
  </si>
  <si>
    <t>Futja e të dhënave </t>
  </si>
  <si>
    <t>Rezultatet </t>
  </si>
  <si>
    <t>Sqarimet</t>
  </si>
  <si>
    <t>Emri i ndërmarrjes: </t>
  </si>
  <si>
    <t>Viti: </t>
  </si>
  <si>
    <t>Humbjet e ujit - sasia dhe vlera (kostoja) </t>
  </si>
  <si>
    <t>Krahasimi ndërkombëtar </t>
  </si>
  <si>
    <t>Matrica e vlerësimit të humbjeve fizike </t>
  </si>
  <si>
    <t>Kategoria e performancës teknike </t>
  </si>
  <si>
    <t>Litra/kyçje/ditë </t>
  </si>
  <si>
    <t>(kur sistemi është nën presion) me një mesatare të presionit prej: </t>
  </si>
  <si>
    <t>Fillimi </t>
  </si>
  <si>
    <t>Zvogëlimi i mëtejshëm i humbjeve mund të mos jetë ekonomik përpos në rastet kur ka mungesë të ujit; janë të domosdoshme analiza të kujdesshme për të identifikuar përmirësimin sa më ekonomik-kosto efektiv </t>
  </si>
  <si>
    <t>Potenciali për përmirësime të konsiderueshme; duhet marrë parasysh menaxhimin e presionit; praktika aktive më të mira për kontrollin e rrjedhjeve, dhe mirëmbajtje më e mirë e rrjetit</t>
  </si>
  <si>
    <t>Shfrytëzim shumë i keq dhe jo-efiçient i resurseve; të domosdoshme dhe me prioritet të lartë programet për reduktimin e rrjedhjeve</t>
  </si>
  <si>
    <t>2.) Gjuha e para-caktuar është ajo Angleze me përdorim të terminologjisë së IWA. Nëse dëshironi që të përdorni terminologjinë e Bankës Botërore si "Humbjet Fizike" dhe "Humbjet Komerciale" kliko në tastin "Ndrysho gjuhën" dhe përzgjedh kodin 2.</t>
  </si>
  <si>
    <t>3.) Në terminologjinë e Bankës Botërore, termi i IWA “SPHRV - Sasia e Pashmangshme e Humbjeve Reale Vjetore” është zëvendësuar me termat e favorizuar të Bankës Botërore “MASVHF - Minimumi i Arritshëm i Sasisë Vjetore të Humbjeve Fizike” dhe “SAVHF - Sasia Aktuale Vjetore e Humbjeve Fizike”. Megjithatë formula bazë ka ngelur e pandryshuar.</t>
  </si>
  <si>
    <t>4.) WB-EasyCalc është optimizuar për rezulucion të monitorit në 10244 x 768 piksela</t>
  </si>
  <si>
    <t>5.) Kodet e ngjyrave</t>
  </si>
  <si>
    <t>qelizat e barrdha janë për futje të të dhënave</t>
  </si>
  <si>
    <t>6.) Edhe pse është bërë çdo përpjekje nga zhvilluesit për të siguruar që WB-EasyCalc të jetë pa asnjë gabim, ata të cilët e përdorin modelin (programin) e bëjnë këtë në rrezikun e tyre. Liemberger &amp; Partners nuk marrin përsipër asnjë detyrim të çfarëdo natyre për humbjet(direkte ose indirekte) të shkaktuara nga përdorimi i këtij modeli</t>
  </si>
  <si>
    <t>7.) Programi është i mbrojtur me fjalëkalim i cili nuk do të zbulohet.</t>
  </si>
  <si>
    <t xml:space="preserve">9.) ÇDO herë rekomandohet që të ndërmerren analiza të thukta të bazuara në matje të rrjetit shpërndarës për të mbështetur dhe verifikuar të dhënat e humbjeve fizike të përllogaritura me këtë program. </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</si>
  <si>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</si>
  <si>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</si>
  <si>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12.) WB-EasyCalc vazhdimisht do të përmirësohet dhe ngritet në cilësi – vizitoni kohë pas kohe www.liemberger.cc për të parë nëse ka verzione të reja të programit.</t>
  </si>
  <si>
    <t>Shtypni 1 për të përdorur % e përgjithshme të nën-leximit të ujëmatësve ose 2 për insertim manual të volumeve dhe nën-leximeve të ujëmatësve të ndryshëm ose kategorive të konsumatorëve</t>
  </si>
  <si>
    <t>Volumet e përdorura për këtë bilanc të ujit janë për periudhën:</t>
  </si>
  <si>
    <t>Ditë</t>
  </si>
  <si>
    <t>m3/vit</t>
  </si>
  <si>
    <t>Bilanci i ujit në m3/vit</t>
  </si>
  <si>
    <t>Bilanci i ujit në m3/ditë</t>
  </si>
  <si>
    <t>litra/kyçje/ditë </t>
  </si>
  <si>
    <t xml:space="preserve">Bilanci i ujit në m3 për periudhën e </t>
  </si>
  <si>
    <t>Bilanci i ujit për periudhën</t>
  </si>
  <si>
    <t>Litra për kyçje në ditë (k.s.n.p)
k.s.n.p.:kur sistemi është nën presion - kjo nënkupton se vlera tashmë është korigjuar në rast të furnizimit me ndërprerje (jo të rregullt)</t>
  </si>
  <si>
    <t>Numri i kyçjeve të konsumatorëve të regjistruar
Shënim: ky numër ka gjasa (me pak diferencë) që të jetë më i ulët se numri i konsumatorëve</t>
  </si>
  <si>
    <t>Presioni mesatar ditor
[m]</t>
  </si>
  <si>
    <t>Koha e furnizimit
[ditë në javë]</t>
  </si>
  <si>
    <t>Koha e furnizimit
[orë në ditë]</t>
  </si>
  <si>
    <t>Koha mesatare e furnizimit ditor
[orë]</t>
  </si>
  <si>
    <t>Konsumi
[litra/person/ditë]</t>
  </si>
  <si>
    <t>Totali
[m3]</t>
  </si>
  <si>
    <t>Konsumi
[litra/kyçje/ditë]</t>
  </si>
  <si>
    <t>Konsumi
[litra/konsumatorë/ditë]</t>
  </si>
  <si>
    <t>Konsumi i pa-autorizuar
[m3]</t>
  </si>
  <si>
    <t>m3/km të gypave për orë
(k.s.n.p)</t>
  </si>
  <si>
    <t>Kthim te treguesit </t>
  </si>
  <si>
    <t> 8.) Futja e të dhënave të gabuara = rezultate të gabuara). Përdoruesi duhet të ketë parasysh se rezultatet e llogaritura me këtë program mund të jenë plotësisht të gabuara nëse të dhënat bazë janë të gabuara ose jo të plota.</t>
  </si>
  <si>
    <t>Vëllimi hyrës në sistem</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</si>
  <si>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</si>
  <si>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</si>
  <si>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</si>
  <si>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</si>
  <si>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</si>
  <si>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</si>
  <si>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</si>
  <si>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</si>
  <si>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</si>
  <si>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</si>
  <si>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</si>
  <si>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</si>
  <si>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</si>
  <si>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</si>
  <si>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bidang putih untuk data entry</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</si>
  <si>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</si>
  <si>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</si>
  <si>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</si>
  <si>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</si>
  <si>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</si>
  <si>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</si>
  <si>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</si>
  <si>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</si>
  <si>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</si>
  <si>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</si>
  <si>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</si>
  <si>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</si>
  <si>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</si>
  <si>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</si>
  <si>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</si>
  <si>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</si>
  <si>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</si>
  <si>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</si>
  <si>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</si>
  <si>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</si>
  <si>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</si>
  <si>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</si>
  <si>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</si>
  <si>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</si>
  <si>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</si>
  <si>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</si>
  <si>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</si>
  <si>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</si>
  <si>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</si>
  <si>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</si>
  <si>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</si>
  <si>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</si>
  <si>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</si>
  <si>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</si>
  <si>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</si>
  <si>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</si>
  <si>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</si>
  <si>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</si>
  <si>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</si>
  <si>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</si>
  <si>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</si>
  <si>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</si>
  <si>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</si>
  <si>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</si>
  <si>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</si>
  <si>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</si>
  <si>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</si>
  <si>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</si>
  <si>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</si>
  <si>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</si>
  <si>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</si>
  <si>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</si>
  <si>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</si>
  <si>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</si>
  <si>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</si>
  <si>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</si>
  <si>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</si>
  <si>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</si>
  <si>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</si>
  <si>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</si>
  <si>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</si>
  <si>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</si>
  <si>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</si>
  <si>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</si>
  <si>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</si>
  <si>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</si>
  <si>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</si>
  <si>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</si>
  <si>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</si>
  <si>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</si>
  <si>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</si>
  <si>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</si>
  <si>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</si>
  <si>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</si>
  <si>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</si>
  <si>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</si>
  <si>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</si>
  <si>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</si>
  <si>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</si>
  <si>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</si>
  <si>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</si>
  <si>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</si>
  <si>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</si>
  <si>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</si>
  <si>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</si>
  <si>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</si>
  <si>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</si>
  <si>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</si>
  <si>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</si>
  <si>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</si>
  <si>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</si>
  <si>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</si>
  <si>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</si>
  <si>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</si>
  <si>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</si>
  <si>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</si>
  <si>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</si>
  <si>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</si>
  <si>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</si>
  <si>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</si>
  <si>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</si>
  <si>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</si>
  <si>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</si>
  <si>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</si>
  <si>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</si>
  <si>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</si>
  <si>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</si>
  <si>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</si>
  <si>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</si>
  <si>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</si>
  <si>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</si>
  <si>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</si>
  <si>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</si>
  <si>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</si>
  <si>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</si>
  <si>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</si>
  <si>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</si>
  <si>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</si>
  <si>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</si>
  <si>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</si>
  <si>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</si>
  <si>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</si>
  <si>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</si>
  <si>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</si>
  <si>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</si>
  <si>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</si>
  <si>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</si>
  <si>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</si>
  <si>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</si>
  <si>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</si>
  <si>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</si>
  <si>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</si>
  <si>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</si>
  <si>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</si>
  <si>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</si>
  <si>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</si>
  <si>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</si>
  <si>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</si>
  <si>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</si>
  <si>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</si>
  <si>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</si>
  <si>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</si>
  <si>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</si>
  <si>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</si>
  <si>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</si>
  <si>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</si>
  <si>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</si>
  <si>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</si>
  <si>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</si>
  <si>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</si>
  <si>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</si>
  <si>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</si>
  <si>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</si>
  <si>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</si>
  <si>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</si>
  <si>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</si>
  <si>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</si>
  <si>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</si>
  <si>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</si>
  <si>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</si>
  <si>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</si>
  <si>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</si>
  <si>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</si>
  <si>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</si>
  <si>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</si>
  <si>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</si>
  <si>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</si>
  <si>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</si>
  <si>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</si>
  <si>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</si>
  <si>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</si>
  <si>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</si>
  <si>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</si>
  <si>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</si>
  <si>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</si>
  <si>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</si>
  <si>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</si>
  <si>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</si>
  <si>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</si>
  <si>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</si>
  <si>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</si>
  <si>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</si>
  <si>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</si>
  <si>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</si>
  <si>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</si>
  <si>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</si>
  <si>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</si>
  <si>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</si>
  <si>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</si>
  <si>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</si>
  <si>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</si>
  <si>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</si>
  <si>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</si>
  <si>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</si>
  <si>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</si>
  <si>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</si>
  <si>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</si>
  <si>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</si>
  <si>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</si>
  <si>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</si>
  <si>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</si>
  <si>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</si>
  <si>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</si>
  <si>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</si>
  <si>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</si>
  <si>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</si>
  <si>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</si>
  <si>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</si>
  <si>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</si>
  <si>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</si>
  <si>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</si>
  <si>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</si>
  <si>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</si>
  <si>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</si>
  <si>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</si>
  <si>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</si>
  <si>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</si>
  <si>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</si>
  <si>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</si>
  <si>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</si>
  <si>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</si>
  <si>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</si>
  <si>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</si>
  <si>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</si>
  <si>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</si>
  <si>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</si>
  <si>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</si>
  <si>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</si>
  <si>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</si>
  <si>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</si>
  <si>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</si>
  <si>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</si>
  <si>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</si>
  <si>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</si>
  <si>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</si>
  <si>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</si>
  <si>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</si>
  <si>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</si>
  <si>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</si>
  <si>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</si>
  <si>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</si>
  <si>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</si>
  <si>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</si>
  <si>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</si>
  <si>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</si>
  <si>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</si>
  <si>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</si>
  <si>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</si>
  <si>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</si>
  <si>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</si>
  <si>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</si>
  <si>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</si>
  <si>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</si>
  <si>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</si>
  <si>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</si>
  <si>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</si>
  <si>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</si>
  <si>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</si>
  <si>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</si>
  <si>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</si>
  <si>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</si>
  <si>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</si>
  <si>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</si>
  <si>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</si>
  <si>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</si>
  <si>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</si>
  <si>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</si>
  <si>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</si>
  <si>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</si>
  <si>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</si>
  <si>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</si>
  <si>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</si>
  <si>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</si>
  <si>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</si>
  <si>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</si>
  <si>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</si>
  <si>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</si>
  <si>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</si>
  <si>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</si>
  <si>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</si>
  <si>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</si>
  <si>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</si>
  <si>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</si>
  <si>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</si>
  <si>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</si>
  <si>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</si>
  <si>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</si>
  <si>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</si>
  <si>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</si>
  <si>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</si>
  <si>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</si>
  <si>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</si>
  <si>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</si>
  <si>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</si>
  <si>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</si>
  <si>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</si>
  <si>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</si>
  <si>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</si>
  <si>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</si>
  <si>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</si>
  <si>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</si>
  <si>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</si>
  <si>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</si>
  <si>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</si>
  <si>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</si>
  <si>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</si>
  <si>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</si>
  <si>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</si>
  <si>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</si>
  <si>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</si>
  <si>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</si>
  <si>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</si>
  <si>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</si>
  <si>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</si>
  <si>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</si>
  <si>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</si>
  <si>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</si>
  <si>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</si>
  <si>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</si>
  <si>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</si>
  <si>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</si>
  <si>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</si>
  <si>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</si>
  <si>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</si>
  <si>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</si>
  <si>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</si>
  <si>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</si>
  <si>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</si>
  <si>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</si>
  <si>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</si>
  <si>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</si>
  <si>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</si>
  <si>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</si>
  <si>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</si>
  <si>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</si>
  <si>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</si>
  <si>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</si>
  <si>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</si>
  <si>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</si>
  <si>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</si>
  <si>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</si>
  <si>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</si>
  <si>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</si>
  <si>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</si>
  <si>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</si>
  <si>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</si>
  <si>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</si>
  <si>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</si>
  <si>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</si>
  <si>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</si>
  <si>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</si>
  <si>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</si>
  <si>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</si>
  <si>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</si>
  <si>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</si>
  <si>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</si>
  <si>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</si>
  <si>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</si>
  <si>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</si>
  <si>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</si>
  <si>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</si>
  <si>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</si>
  <si>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</si>
  <si>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</si>
  <si>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</si>
  <si>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</si>
  <si>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</si>
  <si>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</si>
  <si>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</si>
  <si>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</si>
  <si>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</si>
  <si>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</si>
  <si>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</si>
  <si>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</si>
  <si>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</si>
  <si>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</si>
  <si>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</si>
  <si>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</si>
  <si>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</si>
  <si>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</si>
  <si>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</si>
  <si>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</si>
  <si>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</si>
  <si>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</si>
  <si>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</si>
  <si>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</si>
  <si>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</si>
  <si>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</si>
  <si>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</si>
  <si>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</si>
  <si>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</si>
  <si>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</si>
  <si>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</si>
  <si>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</si>
  <si>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</si>
  <si>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</si>
  <si>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</si>
  <si>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</si>
  <si>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</si>
  <si>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</si>
  <si>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</si>
  <si>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</si>
  <si>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</si>
  <si>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</si>
  <si>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</si>
  <si>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</si>
  <si>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</si>
  <si>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</si>
  <si>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</si>
  <si>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</si>
  <si>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</si>
  <si>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</si>
  <si>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</si>
  <si>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</si>
  <si>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</si>
  <si>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</si>
  <si>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</si>
  <si>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</si>
  <si>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</si>
  <si>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</si>
  <si>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</si>
  <si>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</si>
  <si>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</si>
  <si>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</si>
  <si>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</si>
  <si>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</si>
  <si>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</si>
  <si>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</si>
  <si>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</si>
  <si>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</si>
  <si>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</si>
  <si>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</si>
  <si>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</si>
  <si>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</si>
  <si>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</si>
  <si>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</si>
  <si>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</si>
  <si>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</si>
  <si>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</si>
  <si>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</si>
  <si>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</si>
  <si>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</si>
  <si>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</si>
  <si>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</si>
  <si>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</si>
  <si>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</si>
  <si>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</si>
  <si>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</si>
  <si>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</si>
  <si>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</si>
  <si>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</si>
  <si>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</si>
  <si>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</si>
  <si>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</si>
  <si>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</si>
  <si>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</si>
  <si>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</si>
  <si>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</si>
  <si>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</si>
  <si>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</si>
  <si>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</si>
  <si>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</si>
  <si>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</si>
  <si>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</si>
  <si>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</si>
  <si>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</si>
  <si>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</si>
  <si>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</si>
  <si>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</si>
  <si>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</si>
  <si>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</si>
  <si>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</si>
  <si>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</si>
  <si>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</si>
  <si>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</si>
  <si>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</si>
  <si>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</si>
  <si>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</si>
  <si>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</si>
  <si>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</si>
  <si>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</si>
  <si>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</si>
  <si>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</si>
  <si>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</si>
  <si>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</si>
  <si>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</si>
  <si>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</si>
  <si>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</si>
  <si>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</si>
  <si>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</si>
  <si>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</si>
  <si>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</si>
  <si>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</si>
  <si>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</si>
  <si>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</si>
  <si>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</si>
  <si>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</si>
  <si>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</si>
  <si>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</si>
  <si>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</si>
  <si>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</si>
  <si>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</si>
  <si>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</si>
  <si>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</si>
  <si>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</si>
  <si>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</si>
  <si>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</si>
  <si>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</si>
  <si>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</si>
  <si>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</si>
  <si>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</si>
  <si>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</si>
  <si>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</si>
  <si>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</si>
  <si>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</si>
  <si>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</si>
  <si>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</si>
  <si>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</si>
  <si>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</si>
  <si>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</si>
  <si>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</si>
  <si>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</si>
  <si>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</si>
  <si>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</si>
  <si>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</si>
  <si>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</si>
  <si>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</si>
  <si>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</si>
  <si>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</si>
  <si>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</si>
  <si>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</si>
  <si>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</si>
  <si>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</si>
  <si>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</si>
  <si>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</si>
  <si>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</si>
  <si>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</si>
  <si>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</si>
  <si>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</si>
  <si>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</si>
  <si>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</si>
  <si>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</si>
  <si>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</si>
  <si>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</si>
  <si>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</si>
  <si>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</si>
  <si>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</si>
  <si>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</si>
  <si>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</si>
  <si>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</si>
  <si>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</si>
  <si>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</si>
  <si>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</si>
  <si>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</si>
  <si>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</si>
  <si>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</si>
  <si>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</si>
  <si>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</si>
  <si>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</si>
  <si>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</si>
  <si>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</si>
  <si>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</si>
  <si>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</si>
  <si>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</si>
  <si>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</si>
  <si>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</si>
  <si>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</si>
  <si>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</si>
  <si>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</si>
  <si>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</si>
  <si>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</si>
  <si>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</si>
  <si>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</si>
  <si>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</si>
  <si>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</si>
  <si>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</si>
  <si>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</si>
  <si>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</si>
  <si>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</si>
  <si>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</si>
  <si>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</si>
  <si>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</si>
  <si>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</si>
  <si>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</si>
  <si>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</si>
  <si>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</si>
  <si>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</si>
  <si>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</si>
  <si>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</si>
  <si>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</si>
  <si>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</si>
  <si>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</si>
  <si>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</si>
  <si>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</si>
  <si>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</si>
  <si>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</si>
  <si>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</si>
  <si>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</si>
  <si>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</si>
  <si>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</si>
  <si>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</si>
  <si>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</si>
  <si>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</si>
  <si>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</si>
  <si>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</si>
  <si>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</si>
  <si>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</si>
  <si>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</si>
  <si>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</si>
  <si>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</si>
  <si>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</si>
  <si>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</si>
  <si>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</si>
  <si>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</si>
  <si>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</si>
  <si>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</si>
  <si>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</si>
  <si>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</si>
  <si>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</si>
  <si>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</si>
  <si>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</si>
  <si>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</si>
  <si>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</si>
  <si>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</si>
  <si>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</si>
  <si>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</si>
  <si>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</si>
  <si>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</si>
  <si>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</si>
  <si>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</si>
  <si>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</si>
  <si>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</si>
  <si>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</si>
  <si>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</si>
  <si>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</si>
  <si>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</si>
  <si>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</si>
  <si>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</si>
  <si>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</si>
  <si>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</si>
  <si>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</si>
  <si>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</si>
  <si>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</si>
  <si>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</si>
  <si>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</si>
  <si>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</si>
  <si>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</si>
  <si>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</si>
  <si>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</si>
  <si>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</si>
  <si>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</si>
  <si>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</si>
  <si>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</si>
  <si>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</si>
  <si>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</si>
  <si>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</si>
  <si>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</si>
  <si>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</si>
  <si>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</si>
  <si>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</si>
  <si>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</si>
  <si>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</si>
  <si>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</si>
  <si>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</si>
  <si>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</si>
  <si>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</si>
  <si>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</si>
  <si>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</si>
  <si>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</si>
  <si>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</si>
  <si>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</si>
  <si>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</si>
  <si>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</si>
  <si>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</si>
  <si>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</si>
  <si>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</si>
  <si>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</si>
  <si>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</si>
  <si>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</si>
  <si>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</si>
  <si>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</si>
  <si>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</si>
  <si>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</si>
  <si>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</si>
  <si>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</si>
  <si>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</si>
  <si>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</si>
  <si>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</si>
  <si>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</si>
  <si>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</si>
  <si>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</si>
  <si>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</si>
  <si>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</si>
  <si>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</si>
  <si>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</si>
  <si>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</si>
  <si>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</si>
  <si>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</si>
  <si>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</si>
  <si>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</si>
  <si>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</si>
  <si>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</si>
  <si>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</si>
  <si>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</si>
  <si>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</si>
  <si>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</si>
  <si>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</si>
  <si>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</si>
  <si>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</si>
  <si>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</si>
  <si>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</si>
  <si>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</si>
  <si>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</si>
  <si>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</si>
  <si>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</si>
  <si>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</si>
  <si>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</si>
  <si>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</si>
  <si>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</si>
  <si>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</si>
  <si>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</si>
  <si>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</si>
  <si>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</si>
  <si>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</si>
  <si>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</si>
  <si>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</si>
  <si>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</si>
  <si>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</si>
  <si>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</si>
  <si>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</si>
  <si>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</si>
  <si>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</si>
  <si>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</si>
  <si>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</si>
  <si>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</si>
  <si>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</si>
  <si>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</si>
  <si>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</si>
  <si>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</si>
  <si>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</si>
  <si>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</si>
  <si>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</si>
  <si>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</si>
  <si>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</si>
  <si>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</si>
  <si>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</si>
  <si>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</si>
  <si>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</si>
  <si>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</si>
  <si>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</si>
  <si>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</si>
  <si>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</si>
  <si>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</si>
  <si>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</si>
  <si>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</si>
  <si>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</si>
  <si>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</si>
  <si>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</si>
  <si>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</si>
  <si>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</si>
  <si>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</si>
  <si>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</si>
  <si>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</si>
  <si>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</si>
  <si>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</si>
  <si>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</si>
  <si>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</si>
  <si>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</si>
  <si>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</si>
  <si>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</si>
  <si>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</si>
  <si>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</si>
  <si>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</si>
  <si>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</si>
  <si>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</si>
  <si>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</si>
  <si>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</si>
  <si>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</si>
  <si>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</si>
  <si>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</si>
  <si>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</si>
  <si>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</si>
  <si>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</si>
  <si>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</si>
  <si>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</si>
  <si>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</si>
  <si>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</si>
  <si>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</si>
  <si>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</si>
  <si>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</si>
  <si>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</si>
  <si>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</si>
  <si>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</si>
  <si>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</si>
  <si>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</si>
  <si>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</si>
  <si>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</si>
  <si>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</si>
  <si>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</si>
  <si>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</si>
  <si>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</si>
  <si>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</si>
  <si>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</si>
  <si>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</si>
  <si>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</si>
  <si>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</si>
  <si>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</si>
  <si>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</si>
  <si>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</si>
  <si>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</si>
  <si>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</si>
  <si>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</si>
  <si>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</si>
  <si>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</si>
  <si>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</si>
  <si>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</si>
  <si>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</si>
  <si>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</si>
  <si>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</si>
  <si>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</si>
  <si>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</si>
  <si>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</si>
  <si>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</si>
  <si>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</si>
  <si>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</si>
  <si>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</si>
  <si>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</si>
  <si>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</si>
  <si>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</si>
  <si>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</si>
  <si>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</si>
  <si>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</si>
  <si>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</si>
  <si>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</si>
  <si>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</si>
  <si>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</si>
  <si>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</si>
  <si>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</si>
  <si>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</si>
  <si>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</si>
  <si>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</si>
  <si>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</si>
  <si>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</si>
  <si>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</si>
  <si>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</si>
  <si>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</si>
  <si>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</si>
  <si>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</si>
  <si>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</si>
  <si>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</si>
  <si>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</si>
  <si>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</si>
  <si>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</si>
  <si>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</si>
  <si>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</si>
  <si>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</si>
  <si>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</si>
  <si>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</si>
  <si>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</si>
  <si>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</si>
  <si>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</si>
  <si>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</si>
  <si>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</si>
  <si>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</si>
  <si>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</si>
  <si>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</si>
  <si>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</si>
  <si>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</si>
  <si>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</si>
  <si>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</si>
  <si>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</si>
  <si>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</si>
  <si>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</si>
  <si>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</si>
  <si>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</si>
  <si>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</si>
  <si>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</si>
  <si>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</si>
  <si>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</si>
  <si>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</si>
  <si>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</si>
  <si>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</si>
  <si>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</si>
  <si>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</si>
  <si>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</si>
  <si>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</si>
  <si>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</si>
  <si>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</si>
  <si>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</si>
  <si>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</si>
  <si>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</si>
  <si>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</si>
  <si>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</si>
  <si>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</si>
  <si>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</si>
  <si>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</si>
  <si>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</si>
  <si>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</si>
  <si>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</si>
  <si>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</si>
  <si>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</si>
  <si>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</si>
  <si>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</si>
  <si>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</si>
  <si>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</si>
  <si>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</si>
  <si>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</si>
  <si>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</si>
  <si>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</si>
  <si>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</si>
  <si>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</si>
  <si>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</si>
  <si>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</si>
  <si>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</si>
  <si>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</si>
  <si>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</si>
  <si>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</si>
  <si>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</si>
  <si>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</si>
  <si>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</si>
  <si>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</si>
  <si>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</si>
  <si>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</si>
  <si>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</si>
  <si>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</si>
  <si>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</si>
  <si>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</si>
  <si>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</si>
  <si>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</si>
  <si>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</si>
  <si>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</si>
  <si>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</si>
  <si>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</si>
  <si>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</si>
  <si>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</si>
  <si>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</si>
  <si>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</si>
  <si>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</si>
  <si>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</si>
  <si>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</si>
  <si>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</si>
  <si>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</si>
  <si>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</si>
  <si>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</si>
  <si>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</si>
  <si>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</si>
  <si>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</si>
  <si>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</si>
  <si>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</si>
  <si>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</si>
  <si>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</si>
  <si>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</si>
  <si>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</si>
  <si>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</si>
  <si>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</si>
  <si>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</si>
  <si>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</si>
  <si>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</si>
  <si>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</si>
  <si>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</si>
  <si>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</si>
  <si>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</si>
  <si>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</si>
  <si>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</si>
  <si>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</si>
  <si>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</si>
  <si>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</si>
  <si>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</si>
  <si>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</si>
  <si>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</si>
  <si>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</si>
  <si>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</si>
  <si>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</si>
  <si>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</si>
  <si>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</si>
  <si>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</si>
  <si>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</si>
  <si>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</si>
  <si>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</si>
  <si>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</si>
  <si>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</si>
  <si>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</si>
  <si>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</si>
  <si>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</si>
  <si>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</si>
  <si>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</si>
  <si>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</si>
  <si>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</si>
  <si>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</si>
  <si>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</si>
  <si>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</si>
  <si>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</si>
  <si>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</si>
  <si>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</si>
  <si>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</si>
  <si>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</si>
  <si>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</si>
  <si>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</si>
  <si>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</si>
  <si>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</si>
  <si>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</si>
  <si>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</si>
  <si>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</si>
  <si>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</si>
  <si>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</si>
  <si>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</si>
  <si>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</si>
  <si>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</si>
  <si>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</si>
  <si>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</si>
  <si>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</si>
  <si>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</si>
  <si>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</si>
  <si>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</si>
  <si>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</si>
  <si>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</si>
  <si>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</si>
  <si>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</si>
  <si>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</si>
  <si>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</si>
  <si>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</si>
  <si>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</si>
  <si>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</si>
  <si>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</si>
  <si>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</si>
  <si>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</si>
  <si>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</si>
  <si>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</si>
  <si>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</si>
  <si>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</si>
  <si>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</si>
  <si>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</si>
  <si>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</si>
  <si>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</si>
  <si>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</si>
  <si>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</si>
  <si>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</si>
  <si>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</si>
  <si>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</si>
  <si>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</si>
  <si>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</si>
  <si>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</si>
  <si>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</si>
  <si>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</si>
  <si>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</si>
  <si>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</si>
  <si>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</si>
  <si>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</si>
  <si>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</si>
  <si>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</si>
  <si>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</si>
  <si>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</si>
  <si>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</si>
  <si>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</si>
  <si>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</si>
  <si>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</si>
  <si>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</si>
  <si>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</si>
  <si>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</si>
  <si>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</si>
  <si>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</si>
  <si>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</si>
  <si>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</si>
  <si>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</si>
  <si>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</si>
  <si>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</si>
  <si>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</si>
  <si>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</si>
  <si>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</si>
  <si>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</si>
  <si>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</si>
  <si>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</si>
  <si>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</si>
  <si>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</si>
  <si>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</si>
  <si>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</si>
  <si>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</si>
  <si>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</si>
  <si>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</si>
  <si>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</si>
  <si>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</si>
  <si>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</si>
  <si>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</si>
  <si>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</si>
  <si>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</si>
  <si>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</si>
  <si>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</si>
  <si>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</si>
  <si>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</si>
  <si>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</si>
  <si>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</si>
  <si>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</si>
  <si>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</si>
  <si>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</si>
  <si>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</si>
  <si>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</si>
  <si>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</si>
  <si>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</si>
  <si>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</si>
  <si>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</si>
  <si>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</si>
  <si>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</si>
  <si>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</si>
  <si>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</si>
  <si>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</si>
  <si>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</si>
  <si>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</si>
  <si>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</si>
  <si>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</si>
  <si>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</si>
  <si>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</si>
  <si>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</si>
  <si>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</si>
  <si>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</si>
  <si>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</si>
  <si>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</si>
  <si>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</si>
  <si>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</si>
  <si>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</si>
  <si>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</si>
  <si>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</si>
  <si>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</si>
  <si>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</si>
  <si>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</si>
  <si>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</si>
  <si>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</si>
  <si>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</si>
  <si>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</si>
  <si>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</si>
  <si>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</si>
  <si>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</si>
  <si>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</si>
  <si>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</si>
  <si>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</si>
  <si>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</si>
  <si>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</si>
  <si>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</si>
  <si>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</si>
  <si>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</si>
  <si>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</si>
  <si>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</si>
  <si>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</si>
  <si>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</si>
  <si>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</si>
  <si>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</si>
  <si>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</si>
  <si>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</si>
  <si>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</si>
  <si>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</si>
  <si>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</si>
  <si>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</si>
  <si>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</si>
  <si>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</si>
  <si>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</si>
  <si>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</si>
  <si>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</si>
  <si>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</si>
  <si>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</si>
  <si>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</si>
  <si>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</si>
  <si>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</si>
  <si>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</si>
  <si>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</si>
  <si>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</si>
  <si>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</si>
  <si>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</si>
  <si>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</si>
  <si>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</si>
  <si>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</si>
  <si>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</si>
  <si>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</si>
  <si>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</si>
  <si>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</si>
  <si>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</si>
  <si>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</si>
  <si>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</si>
  <si>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</si>
  <si>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</si>
  <si>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</si>
  <si>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</si>
  <si>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</si>
  <si>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</si>
  <si>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</si>
  <si>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</si>
  <si>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</si>
  <si>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</si>
  <si>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</si>
  <si>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</si>
  <si>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</si>
  <si>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</si>
  <si>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</si>
  <si>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</si>
  <si>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</si>
  <si>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</si>
  <si>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</si>
  <si>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</si>
  <si>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</si>
  <si>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</si>
  <si>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</si>
  <si>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</si>
  <si>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</si>
  <si>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</si>
  <si>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</si>
  <si>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</si>
  <si>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</si>
  <si>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</si>
  <si>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</si>
  <si>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</si>
  <si>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</si>
  <si>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</si>
  <si>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</si>
  <si>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</si>
  <si>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</si>
  <si>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</si>
  <si>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</si>
  <si>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</si>
  <si>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</si>
  <si>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</si>
  <si>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</si>
  <si>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</si>
  <si>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</si>
  <si>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</si>
  <si>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</si>
  <si>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</si>
  <si>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</si>
  <si>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</si>
  <si>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</si>
  <si>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</si>
  <si>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</si>
  <si>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</si>
  <si>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</si>
  <si>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</si>
  <si>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</si>
  <si>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</si>
  <si>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</si>
  <si>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</si>
  <si>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</si>
  <si>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</si>
  <si>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</si>
  <si>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</si>
  <si>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</si>
  <si>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</si>
  <si>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</si>
  <si>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</si>
  <si>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</si>
  <si>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</si>
  <si>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</si>
  <si>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</si>
  <si>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</si>
  <si>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</si>
  <si>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</si>
  <si>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</si>
  <si>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</si>
  <si>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</si>
  <si>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</si>
  <si>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</si>
  <si>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</si>
  <si>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</si>
  <si>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</si>
  <si>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</si>
  <si>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</si>
  <si>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</si>
  <si>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</si>
  <si>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</si>
  <si>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</si>
  <si>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</si>
  <si>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</si>
  <si>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</si>
  <si>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</si>
  <si>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</si>
  <si>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</si>
  <si>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</si>
  <si>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</si>
  <si>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</si>
  <si>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</si>
  <si>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</si>
  <si>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</si>
  <si>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</si>
  <si>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</si>
  <si>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</si>
  <si>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</si>
  <si>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</si>
  <si>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</si>
  <si>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</si>
  <si>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</si>
  <si>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</si>
  <si>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</si>
  <si>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</si>
  <si>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</si>
  <si>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</si>
  <si>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</si>
  <si>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</si>
  <si>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</si>
  <si>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</si>
  <si>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</si>
  <si>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</si>
  <si>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</si>
  <si>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</si>
  <si>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</si>
  <si>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</si>
  <si>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</si>
  <si>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</si>
  <si>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</si>
  <si>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</si>
  <si>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</si>
  <si>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</si>
  <si>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</si>
  <si>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</si>
  <si>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</si>
  <si>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</si>
  <si>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</si>
  <si>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</si>
  <si>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</si>
  <si>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</si>
  <si>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</si>
  <si>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</si>
  <si>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</si>
  <si>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</si>
  <si>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</si>
  <si>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</si>
  <si>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</si>
  <si>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</si>
  <si>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</si>
  <si>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</si>
  <si>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</si>
  <si>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</si>
  <si>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</si>
  <si>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</si>
  <si>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</si>
  <si>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</si>
  <si>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</si>
  <si>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</si>
  <si>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</si>
  <si>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</si>
  <si>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</si>
  <si>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</si>
  <si>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</si>
  <si>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</si>
  <si>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</si>
  <si>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</si>
  <si>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</si>
  <si>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</si>
  <si>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</si>
  <si>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</si>
  <si>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</si>
  <si>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</si>
  <si>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</si>
  <si>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</si>
  <si>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</si>
  <si>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</si>
  <si>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</si>
  <si>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</si>
  <si>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</si>
  <si>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</si>
  <si>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</si>
  <si>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</si>
  <si>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</si>
  <si>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</si>
  <si>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</si>
  <si>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</si>
  <si>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</si>
  <si>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</si>
  <si>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</si>
  <si>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</si>
  <si>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</si>
  <si>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</si>
  <si>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</si>
  <si>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</si>
  <si>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</si>
  <si>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</si>
  <si>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</si>
  <si>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</si>
  <si>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</si>
  <si>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</si>
  <si>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</si>
  <si>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</si>
  <si>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</si>
  <si>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</si>
  <si>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</si>
  <si>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</si>
  <si>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</si>
  <si>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</si>
  <si>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</si>
  <si>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</si>
  <si>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</si>
  <si>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</si>
  <si>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</si>
  <si>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</si>
  <si>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</si>
  <si>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</si>
  <si>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</si>
  <si>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</si>
  <si>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</si>
  <si>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</si>
  <si>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</si>
  <si>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</si>
  <si>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</si>
  <si>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</si>
  <si>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</si>
  <si>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</si>
  <si>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</si>
  <si>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</si>
  <si>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</si>
  <si>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</si>
  <si>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</si>
  <si>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</si>
  <si>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</si>
  <si>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</si>
  <si>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</si>
  <si>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</si>
  <si>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</si>
  <si>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</si>
  <si>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</si>
  <si>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</si>
  <si>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</si>
  <si>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</si>
  <si>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</si>
  <si>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</si>
  <si>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</si>
  <si>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</si>
  <si>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</si>
  <si>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</si>
  <si>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</si>
  <si>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</si>
  <si>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</si>
  <si>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</si>
  <si>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</si>
  <si>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</si>
  <si>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</si>
  <si>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</si>
  <si>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</si>
  <si>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</si>
  <si>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</si>
  <si>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</si>
  <si>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</si>
  <si>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</si>
  <si>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</si>
  <si>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</si>
  <si>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</si>
  <si>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</si>
  <si>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</si>
  <si>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</si>
  <si>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</si>
  <si>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</si>
  <si>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</si>
  <si>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</si>
  <si>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</si>
  <si>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</si>
  <si>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</si>
  <si>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</si>
  <si>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</si>
  <si>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</si>
  <si>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</si>
  <si>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</si>
  <si>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</si>
  <si>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</si>
  <si>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</si>
  <si>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</si>
  <si>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</si>
  <si>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</si>
  <si>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</si>
  <si>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</si>
  <si>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</si>
  <si>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</si>
  <si>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</si>
  <si>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</si>
  <si>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</si>
  <si>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</si>
  <si>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</si>
  <si>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</si>
  <si>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</si>
  <si>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</si>
  <si>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</si>
  <si>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</si>
  <si>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</si>
  <si>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</si>
  <si>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</si>
  <si>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</si>
  <si>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</si>
  <si>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</si>
  <si>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</si>
  <si>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</si>
  <si>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</si>
  <si>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</si>
  <si>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</si>
  <si>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</si>
  <si>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</si>
  <si>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</si>
  <si>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</si>
  <si>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</si>
  <si>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</si>
  <si>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</si>
  <si>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</si>
  <si>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</si>
  <si>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</si>
  <si>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</si>
  <si>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</si>
  <si>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</si>
  <si>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</si>
  <si>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</si>
  <si>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</si>
  <si>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</si>
  <si>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</si>
  <si>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</si>
  <si>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</si>
  <si>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</si>
  <si>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</si>
  <si>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</si>
  <si>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</si>
  <si>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</si>
  <si>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</si>
  <si>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</si>
  <si>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</si>
  <si>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</si>
  <si>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</si>
  <si>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</si>
  <si>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</si>
  <si>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</si>
  <si>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</si>
  <si>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</si>
  <si>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</si>
  <si>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</si>
  <si>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</si>
  <si>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</si>
  <si>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</si>
  <si>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</si>
  <si>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</si>
  <si>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</si>
  <si>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</si>
  <si>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</si>
  <si>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</si>
  <si>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</si>
  <si>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</si>
  <si>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</si>
  <si>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</si>
  <si>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</si>
  <si>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</si>
  <si>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</si>
  <si>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</si>
  <si>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</si>
  <si>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</si>
  <si>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</si>
  <si>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</si>
  <si>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</si>
  <si>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</si>
  <si>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</si>
  <si>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</si>
  <si>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</si>
  <si>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</si>
  <si>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</si>
  <si>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</si>
  <si>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</si>
  <si>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</si>
  <si>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</si>
  <si>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</si>
  <si>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</si>
  <si>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</si>
  <si>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</si>
  <si>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</si>
  <si>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</si>
  <si>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</si>
  <si>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</si>
  <si>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</si>
  <si>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</si>
  <si>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</si>
  <si>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</si>
  <si>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</si>
  <si>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</si>
  <si>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</si>
  <si>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</si>
  <si>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</si>
  <si>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</si>
  <si>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</si>
  <si>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</si>
  <si>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</si>
  <si>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</si>
  <si>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</si>
  <si>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</si>
  <si>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</si>
  <si>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</si>
  <si>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</si>
  <si>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</si>
  <si>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</si>
  <si>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</si>
  <si>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</si>
  <si>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</si>
  <si>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</si>
  <si>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</si>
  <si>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</si>
  <si>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</si>
  <si>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</si>
  <si>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</si>
  <si>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</si>
  <si>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</si>
  <si>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</si>
  <si>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</si>
  <si>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</si>
  <si>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</si>
  <si>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</si>
  <si>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</si>
  <si>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</si>
  <si>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</si>
  <si>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</si>
  <si>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</si>
  <si>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</si>
  <si>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</si>
  <si>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</si>
  <si>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</si>
  <si>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</si>
  <si>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</si>
  <si>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</si>
  <si>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</si>
  <si>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</si>
  <si>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</si>
  <si>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</si>
  <si>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</si>
  <si>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</si>
  <si>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</si>
  <si>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</si>
  <si>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</si>
  <si>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</si>
  <si>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</si>
  <si>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</si>
  <si>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</si>
  <si>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</si>
  <si>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</si>
  <si>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</si>
  <si>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</si>
  <si>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</si>
  <si>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</si>
  <si>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</si>
  <si>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</si>
  <si>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</si>
  <si>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</si>
  <si>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</si>
  <si>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</si>
  <si>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</si>
  <si>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</si>
  <si>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</si>
  <si>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</si>
  <si>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</si>
  <si>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</si>
  <si>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</si>
  <si>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</si>
  <si>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</si>
  <si>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</si>
  <si>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</si>
  <si>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</si>
  <si>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</si>
  <si>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</si>
  <si>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</si>
  <si>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Consumo não autorizado não faturado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</si>
  <si>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</si>
  <si>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</si>
  <si>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</si>
  <si>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</si>
  <si>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</si>
  <si>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</si>
  <si>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</si>
  <si>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</si>
  <si>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</si>
  <si>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</si>
  <si>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</si>
  <si>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</si>
  <si>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</si>
  <si>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</si>
  <si>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</si>
  <si>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</si>
  <si>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</si>
  <si>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</si>
  <si>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</si>
  <si>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</si>
  <si>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</si>
  <si>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</si>
  <si>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</si>
  <si>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</si>
  <si>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</si>
  <si>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</si>
  <si>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</si>
  <si>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</si>
  <si>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</si>
  <si>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</si>
  <si>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</si>
  <si>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</si>
  <si>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</si>
  <si>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</si>
  <si>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</si>
  <si>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</si>
  <si>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</si>
  <si>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</si>
  <si>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</si>
  <si>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</si>
  <si>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</si>
  <si>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</si>
  <si>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</si>
  <si>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</si>
  <si>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</si>
  <si>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</si>
  <si>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</si>
  <si>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</si>
  <si>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</si>
  <si>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</si>
  <si>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</si>
  <si>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</si>
  <si>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</si>
  <si>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</si>
  <si>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</si>
  <si>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</si>
  <si>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</si>
  <si>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</si>
  <si>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</si>
  <si>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</si>
  <si>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</si>
  <si>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</si>
  <si>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</si>
  <si>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</si>
  <si>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</si>
  <si>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</si>
  <si>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</si>
  <si>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</si>
  <si>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</si>
  <si>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</si>
  <si>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</si>
  <si>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</si>
  <si>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</si>
  <si>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</si>
  <si>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</si>
  <si>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</si>
  <si>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</si>
  <si>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</si>
  <si>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</si>
  <si>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</si>
  <si>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</si>
  <si>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</si>
  <si>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</si>
  <si>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</si>
  <si>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</si>
  <si>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</si>
  <si>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</si>
  <si>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</si>
  <si>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</si>
  <si>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</si>
  <si>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</si>
  <si>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</si>
  <si>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</si>
  <si>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</si>
  <si>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</si>
  <si>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</si>
  <si>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</si>
  <si>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</si>
  <si>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</si>
  <si>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</si>
  <si>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</si>
  <si>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</si>
  <si>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</si>
  <si>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</si>
  <si>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</si>
  <si>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</si>
  <si>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</si>
  <si>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</si>
  <si>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</si>
  <si>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</si>
  <si>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</si>
  <si>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</si>
  <si>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</si>
  <si>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</si>
  <si>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</si>
  <si>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</si>
  <si>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</si>
  <si>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</si>
  <si>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</si>
  <si>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</si>
  <si>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</si>
  <si>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</si>
  <si>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</si>
  <si>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</si>
  <si>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</si>
  <si>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</si>
  <si>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</si>
  <si>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</si>
  <si>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</si>
  <si>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</si>
  <si>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</si>
  <si>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</si>
  <si>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</si>
  <si>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</si>
  <si>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</si>
  <si>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</si>
  <si>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</si>
  <si>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</si>
  <si>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</si>
  <si>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</si>
  <si>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</si>
  <si>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</si>
  <si>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</si>
  <si>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</si>
  <si>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</si>
  <si>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</si>
  <si>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</si>
  <si>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</si>
  <si>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</si>
  <si>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</si>
  <si>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</si>
  <si>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</si>
  <si>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</si>
  <si>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</si>
  <si>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</si>
  <si>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</si>
  <si>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</si>
  <si>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</si>
  <si>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</si>
  <si>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</si>
  <si>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</si>
  <si>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</si>
  <si>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</si>
  <si>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</si>
  <si>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</si>
  <si>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</si>
  <si>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</si>
  <si>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</si>
  <si>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</si>
  <si>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</si>
  <si>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</si>
  <si>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</si>
  <si>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</si>
  <si>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</si>
  <si>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</si>
  <si>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</si>
  <si>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</si>
  <si>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</si>
  <si>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</si>
  <si>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</si>
  <si>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</si>
  <si>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</si>
  <si>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</si>
  <si>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</si>
  <si>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</si>
  <si>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</si>
  <si>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</si>
  <si>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</si>
  <si>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</si>
  <si>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</si>
  <si>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</si>
  <si>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</si>
  <si>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</si>
  <si>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</si>
  <si>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</si>
  <si>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</si>
  <si>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</si>
  <si>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</si>
  <si>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</si>
  <si>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</si>
  <si>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</si>
  <si>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</si>
  <si>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</si>
  <si>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</si>
  <si>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</si>
  <si>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</si>
  <si>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</si>
  <si>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</si>
  <si>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</si>
  <si>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Sambungan Ilegal - rumah tangga</t>
  </si>
  <si>
    <t>Sambungan Ilegal - lainnya</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</si>
  <si>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</si>
  <si>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</si>
  <si>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</si>
  <si>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</si>
  <si>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</si>
  <si>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</si>
  <si>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</si>
  <si>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</si>
  <si>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</si>
  <si>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</si>
  <si>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</si>
  <si>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</si>
  <si>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</si>
  <si>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</si>
  <si>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</si>
  <si>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</si>
  <si>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</si>
  <si>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</si>
  <si>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</si>
  <si>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</si>
  <si>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</si>
  <si>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</si>
  <si>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</si>
  <si>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</si>
  <si>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</si>
  <si>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</si>
  <si>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</si>
  <si>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</si>
  <si>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</si>
  <si>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</si>
  <si>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</si>
  <si>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</si>
  <si>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</si>
  <si>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</si>
  <si>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</si>
  <si>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</si>
  <si>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</si>
  <si>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</si>
  <si>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</si>
  <si>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</si>
  <si>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</si>
  <si>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</si>
  <si>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</si>
  <si>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</si>
  <si>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</si>
  <si>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</si>
  <si>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</si>
  <si>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</si>
  <si>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</si>
  <si>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</si>
  <si>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</si>
  <si>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</si>
  <si>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</si>
  <si>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</si>
  <si>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</si>
  <si>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</si>
  <si>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</si>
  <si>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</si>
  <si>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</si>
  <si>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</si>
  <si>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</si>
  <si>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</si>
  <si>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</si>
  <si>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</si>
  <si>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</si>
  <si>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</si>
  <si>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</si>
  <si>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</si>
  <si>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</si>
  <si>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</si>
  <si>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</si>
  <si>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</si>
  <si>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</si>
  <si>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</si>
  <si>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</si>
  <si>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</si>
  <si>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</si>
  <si>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</si>
  <si>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</si>
  <si>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</si>
  <si>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</si>
  <si>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</si>
  <si>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</si>
  <si>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</si>
  <si>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</si>
  <si>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</si>
  <si>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</si>
  <si>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</si>
  <si>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</si>
  <si>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</si>
  <si>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</si>
  <si>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</si>
  <si>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</si>
  <si>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</si>
  <si>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</si>
  <si>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</si>
  <si>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</si>
  <si>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</si>
  <si>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</si>
  <si>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</si>
  <si>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</si>
  <si>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</si>
  <si>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</si>
  <si>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</si>
  <si>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</si>
  <si>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</si>
  <si>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</si>
  <si>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</si>
  <si>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</si>
  <si>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</si>
  <si>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</si>
  <si>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</si>
  <si>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</si>
  <si>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</si>
  <si>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</si>
  <si>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</si>
  <si>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</si>
  <si>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</si>
  <si>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</si>
  <si>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</si>
  <si>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</si>
  <si>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</si>
  <si>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</si>
  <si>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</si>
  <si>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</si>
  <si>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</si>
  <si>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</si>
  <si>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</si>
  <si>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</si>
  <si>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</si>
  <si>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</si>
  <si>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</si>
  <si>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</si>
  <si>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</si>
  <si>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</si>
  <si>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</si>
  <si>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</si>
  <si>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</si>
  <si>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</si>
  <si>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</si>
  <si>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</si>
  <si>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</si>
  <si>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</si>
  <si>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</si>
  <si>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</si>
  <si>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</si>
  <si>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</si>
  <si>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</si>
  <si>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</si>
  <si>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</si>
  <si>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</si>
  <si>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</si>
  <si>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</si>
  <si>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</si>
  <si>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</si>
  <si>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</si>
  <si>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</si>
  <si>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</si>
  <si>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</si>
  <si>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</si>
  <si>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</si>
  <si>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</si>
  <si>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</si>
  <si>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</si>
  <si>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</si>
  <si>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</si>
  <si>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</si>
  <si>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</si>
  <si>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</si>
  <si>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</si>
  <si>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</si>
  <si>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</si>
  <si>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</si>
  <si>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</si>
  <si>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</si>
  <si>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</si>
  <si>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</si>
  <si>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</si>
  <si>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</si>
  <si>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</si>
  <si>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</si>
  <si>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</si>
  <si>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</si>
  <si>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</si>
  <si>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</si>
  <si>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</si>
  <si>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</si>
  <si>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</si>
  <si>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</si>
  <si>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</si>
  <si>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</si>
  <si>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</si>
  <si>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</si>
  <si>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</si>
  <si>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</si>
  <si>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</si>
  <si>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</si>
  <si>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</si>
  <si>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</si>
  <si>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</si>
  <si>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</si>
  <si>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</si>
  <si>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</si>
  <si>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</si>
  <si>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</si>
  <si>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</si>
  <si>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</si>
  <si>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</si>
  <si>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</si>
  <si>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</si>
  <si>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</si>
  <si>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</si>
  <si>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</si>
  <si>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</si>
  <si>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</si>
  <si>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</si>
  <si>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</si>
  <si>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</si>
  <si>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</si>
  <si>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</si>
  <si>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</si>
  <si>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</si>
  <si>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</si>
  <si>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</si>
  <si>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</si>
  <si>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</si>
  <si>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</si>
  <si>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</si>
  <si>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</si>
  <si>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</si>
  <si>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</si>
  <si>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</si>
  <si>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</si>
  <si>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</si>
  <si>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</si>
  <si>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</si>
  <si>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</si>
  <si>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</si>
  <si>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</si>
  <si>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</si>
  <si>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</si>
  <si>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</si>
  <si>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</si>
  <si>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</si>
  <si>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</si>
  <si>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</si>
  <si>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</si>
  <si>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</si>
  <si>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</si>
  <si>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</si>
  <si>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</si>
  <si>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</si>
  <si>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</si>
  <si>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</si>
  <si>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</si>
  <si>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</si>
  <si>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</si>
  <si>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</si>
  <si>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</si>
  <si>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</si>
  <si>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</si>
  <si>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</si>
  <si>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</si>
  <si>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</si>
  <si>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</si>
  <si>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</si>
  <si>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</si>
  <si>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</si>
  <si>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</si>
  <si>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</si>
  <si>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</si>
  <si>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</si>
  <si>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</si>
  <si>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</si>
  <si>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</si>
  <si>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</si>
  <si>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</si>
  <si>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</si>
  <si>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</si>
  <si>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</si>
  <si>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</si>
  <si>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</si>
  <si>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</si>
  <si>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</si>
  <si>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</si>
  <si>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</si>
  <si>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</si>
  <si>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</si>
  <si>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</si>
  <si>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</si>
  <si>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</si>
  <si>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</si>
  <si>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</si>
  <si>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</si>
  <si>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</si>
  <si>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</si>
  <si>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</si>
  <si>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</si>
  <si>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</si>
  <si>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</si>
  <si>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</si>
  <si>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</si>
  <si>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</si>
  <si>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</si>
  <si>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</si>
  <si>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</si>
  <si>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</si>
  <si>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</si>
  <si>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</si>
  <si>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</si>
  <si>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</si>
  <si>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</si>
  <si>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</si>
  <si>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</si>
  <si>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</si>
  <si>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</si>
  <si>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</si>
  <si>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</si>
  <si>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</si>
  <si>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</si>
  <si>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</si>
  <si>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</si>
  <si>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</si>
  <si>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</si>
  <si>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</si>
  <si>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</si>
  <si>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</si>
  <si>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</si>
  <si>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</si>
  <si>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</si>
  <si>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</si>
  <si>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</si>
  <si>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</si>
  <si>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</si>
  <si>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</si>
  <si>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</si>
  <si>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</si>
  <si>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</si>
  <si>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</si>
  <si>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</si>
  <si>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</si>
  <si>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</si>
  <si>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</si>
  <si>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</si>
  <si>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</si>
  <si>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</si>
  <si>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</si>
  <si>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</si>
  <si>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</si>
  <si>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</si>
  <si>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</si>
  <si>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</si>
  <si>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</si>
  <si>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</si>
  <si>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</si>
  <si>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</si>
  <si>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</si>
  <si>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</si>
  <si>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</si>
  <si>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</si>
  <si>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</si>
  <si>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</si>
  <si>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</si>
  <si>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</si>
  <si>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</si>
  <si>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</si>
  <si>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</si>
  <si>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</si>
  <si>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</si>
  <si>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</si>
  <si>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</si>
  <si>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</si>
  <si>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</si>
  <si>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</si>
  <si>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</si>
  <si>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</si>
  <si>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</si>
  <si>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</si>
  <si>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</si>
  <si>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</si>
  <si>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</si>
  <si>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</si>
  <si>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</si>
  <si>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</si>
  <si>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</si>
  <si>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</si>
  <si>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</si>
  <si>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</si>
  <si>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</si>
  <si>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</si>
  <si>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</si>
  <si>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</si>
  <si>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</si>
  <si>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</si>
  <si>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</si>
  <si>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</si>
  <si>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</si>
  <si>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</si>
  <si>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</si>
  <si>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</si>
  <si>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</si>
  <si>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</si>
  <si>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</si>
  <si>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</si>
  <si>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</si>
  <si>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</si>
  <si>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</si>
  <si>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</si>
  <si>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</si>
  <si>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</si>
  <si>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</si>
  <si>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</si>
  <si>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</si>
  <si>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</si>
  <si>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</si>
  <si>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</si>
  <si>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</si>
  <si>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</si>
  <si>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</si>
  <si>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</si>
  <si>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</si>
  <si>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</si>
  <si>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</si>
  <si>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</si>
  <si>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</si>
  <si>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</si>
  <si>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</si>
  <si>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</si>
  <si>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</si>
  <si>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</si>
  <si>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</si>
  <si>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</si>
  <si>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</si>
  <si>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</si>
  <si>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</si>
  <si>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</si>
  <si>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</si>
  <si>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</si>
  <si>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</si>
  <si>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</si>
  <si>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</si>
  <si>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</si>
  <si>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</si>
  <si>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</si>
  <si>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</si>
  <si>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</si>
  <si>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</si>
  <si>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</si>
  <si>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</si>
  <si>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</si>
  <si>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</si>
  <si>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</si>
  <si>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</si>
  <si>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</si>
  <si>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</si>
  <si>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</si>
  <si>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</si>
  <si>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</si>
  <si>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</si>
  <si>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</si>
  <si>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</si>
  <si>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</si>
  <si>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</si>
  <si>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</si>
  <si>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</si>
  <si>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</si>
  <si>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</si>
  <si>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</si>
  <si>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</si>
  <si>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</si>
  <si>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</si>
  <si>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</si>
  <si>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</si>
  <si>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</si>
  <si>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</si>
  <si>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</si>
  <si>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</si>
  <si>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</si>
  <si>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</si>
  <si>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</si>
  <si>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</si>
  <si>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</si>
  <si>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</si>
  <si>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</si>
  <si>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</si>
  <si>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</si>
  <si>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</si>
  <si>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</si>
  <si>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</si>
  <si>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</si>
  <si>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</si>
  <si>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</si>
  <si>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</si>
  <si>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</si>
  <si>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</si>
  <si>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</si>
  <si>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</si>
  <si>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</si>
  <si>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</si>
  <si>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</si>
  <si>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</si>
  <si>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</si>
  <si>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</si>
  <si>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</si>
  <si>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</si>
  <si>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</si>
  <si>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</si>
  <si>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</si>
  <si>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</si>
  <si>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</si>
  <si>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</si>
  <si>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</si>
  <si>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</si>
  <si>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</si>
  <si>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</si>
  <si>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</si>
  <si>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</si>
  <si>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</si>
  <si>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</si>
  <si>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</si>
  <si>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</si>
  <si>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</si>
  <si>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</si>
  <si>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</si>
  <si>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</si>
  <si>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</si>
  <si>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</si>
  <si>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</si>
  <si>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</si>
  <si>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</si>
  <si>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</si>
  <si>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</si>
  <si>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</si>
  <si>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</si>
  <si>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</si>
  <si>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</si>
  <si>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</si>
  <si>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</si>
  <si>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</si>
  <si>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</si>
  <si>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</si>
  <si>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</si>
  <si>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</si>
  <si>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</si>
  <si>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</si>
  <si>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</si>
  <si>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</si>
  <si>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</si>
  <si>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</si>
  <si>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</si>
  <si>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</si>
  <si>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</si>
  <si>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</si>
  <si>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</si>
  <si>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</si>
  <si>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</si>
  <si>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</si>
  <si>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</si>
  <si>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</si>
  <si>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</si>
  <si>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</si>
  <si>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</si>
  <si>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</si>
  <si>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</si>
  <si>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</si>
  <si>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</si>
  <si>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</si>
  <si>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</si>
  <si>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</si>
  <si>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</si>
  <si>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</si>
  <si>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</si>
  <si>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</si>
  <si>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</si>
  <si>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</si>
  <si>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</si>
  <si>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</si>
  <si>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</si>
  <si>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</si>
  <si>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</si>
  <si>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</si>
  <si>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</si>
  <si>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</si>
  <si>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</si>
  <si>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</si>
  <si>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</si>
  <si>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</si>
  <si>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</si>
  <si>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</si>
  <si>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</si>
  <si>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</si>
  <si>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</si>
  <si>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</si>
  <si>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</si>
  <si>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</si>
  <si>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</si>
  <si>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</si>
  <si>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</si>
  <si>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</si>
  <si>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</si>
  <si>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</si>
  <si>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</si>
  <si>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</si>
  <si>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</si>
  <si>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</si>
  <si>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</si>
  <si>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</si>
  <si>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</si>
  <si>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</si>
  <si>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</si>
  <si>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</si>
  <si>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</si>
  <si>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</si>
  <si>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</si>
  <si>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</si>
  <si>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</si>
  <si>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</si>
  <si>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</si>
  <si>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</si>
  <si>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</si>
  <si>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</si>
  <si>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</si>
  <si>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</si>
  <si>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</si>
  <si>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</si>
  <si>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</si>
  <si>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</si>
  <si>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</si>
  <si>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</si>
  <si>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</si>
  <si>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</si>
  <si>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</si>
  <si>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</si>
  <si>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</si>
  <si>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</si>
  <si>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</si>
  <si>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</si>
  <si>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</si>
  <si>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</si>
  <si>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</si>
  <si>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</si>
  <si>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</si>
  <si>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</si>
  <si>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</si>
  <si>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</si>
  <si>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</si>
  <si>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</si>
  <si>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</si>
  <si>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</si>
  <si>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</si>
  <si>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</si>
  <si>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</si>
  <si>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</si>
  <si>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</si>
  <si>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</si>
  <si>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</si>
  <si>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</si>
  <si>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</si>
  <si>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</si>
  <si>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</si>
  <si>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</si>
  <si>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</si>
  <si>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Konsumi i pa-matur i faturuar</t>
  </si>
  <si>
    <t>Treguesit e performances për humbjet fizike</t>
  </si>
  <si>
    <t xml:space="preserve">Treguesit e performances për humbjet komerciale </t>
  </si>
  <si>
    <t>Grupi i performances</t>
  </si>
  <si>
    <t>Litra për kyçje në ditë për meter shtypje (k.s.n.p)</t>
  </si>
  <si>
    <t>Gjatësia mesatare e kyçjeve në shërbim nga kufiri i pronës deri te ujëmatësi i konsumatorit [meter]</t>
  </si>
  <si>
    <t xml:space="preserve">Gjatësia totale e kyçjeve në shërbim nga kufiri i pronës deri te ujëmatësi i konsumatorit [kilometer] </t>
  </si>
  <si>
    <t>Gabimet në regjistrimin e të dhënave (zyre) </t>
  </si>
  <si>
    <t>Grupi i të dhënave ndërkombëtare të zgjedhura rastësisht</t>
  </si>
  <si>
    <t>Evidentim i mangët i rrjedhjeve; e lejueshme vetëm nëse ka ujë të mjaftueshëm dhe uji është i lirë; edhe në këtë rast, analizo nivelin dhe natyrën e rrjedhjes dhe intensifiko përpjekjet për reduktimin e rrjedhjeve</t>
  </si>
  <si>
    <t>Numri i kyçjeve jo-aktive me kyçje ekzistuese në shërbime</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</si>
  <si>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</si>
  <si>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</si>
  <si>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</si>
  <si>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</si>
  <si>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</si>
  <si>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</si>
  <si>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</si>
  <si>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</si>
  <si>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</si>
  <si>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</si>
  <si>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</si>
  <si>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</si>
  <si>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</si>
  <si>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</si>
  <si>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</si>
  <si>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</si>
  <si>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</si>
  <si>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</si>
  <si>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</si>
  <si>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</si>
  <si>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</si>
  <si>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</si>
  <si>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</si>
  <si>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</si>
  <si>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</si>
  <si>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</si>
  <si>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</si>
  <si>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</si>
  <si>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</si>
  <si>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</si>
  <si>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</si>
  <si>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</si>
  <si>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</si>
  <si>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</si>
  <si>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</si>
  <si>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</si>
  <si>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</si>
  <si>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</si>
  <si>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</si>
  <si>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</si>
  <si>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</si>
  <si>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</si>
  <si>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</si>
  <si>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</si>
  <si>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</si>
  <si>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</si>
  <si>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</si>
  <si>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</si>
  <si>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</si>
  <si>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</si>
  <si>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</si>
  <si>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</si>
  <si>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</si>
  <si>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</si>
  <si>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</si>
  <si>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</si>
  <si>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</si>
  <si>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</si>
  <si>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</si>
  <si>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</si>
  <si>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</si>
  <si>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</si>
  <si>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</si>
  <si>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</si>
  <si>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</si>
  <si>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</si>
  <si>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</si>
  <si>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</si>
  <si>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</si>
  <si>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</si>
  <si>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</si>
  <si>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</si>
  <si>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</si>
  <si>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</si>
  <si>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</si>
  <si>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</si>
  <si>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</si>
  <si>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</si>
  <si>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</si>
  <si>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</si>
  <si>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</si>
  <si>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</si>
  <si>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</si>
  <si>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</si>
  <si>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</si>
  <si>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</si>
  <si>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</si>
  <si>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</si>
  <si>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</si>
  <si>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</si>
  <si>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</si>
  <si>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</si>
  <si>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</si>
  <si>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</si>
  <si>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</si>
  <si>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</si>
  <si>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</si>
  <si>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</si>
  <si>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</si>
  <si>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</si>
  <si>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</si>
  <si>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</si>
  <si>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</si>
  <si>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</si>
  <si>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</si>
  <si>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</si>
  <si>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</si>
  <si>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</si>
  <si>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</si>
  <si>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</si>
  <si>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</si>
  <si>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</si>
  <si>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</si>
  <si>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</si>
  <si>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</si>
  <si>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</si>
  <si>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</si>
  <si>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</si>
  <si>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</si>
  <si>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</si>
  <si>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</si>
  <si>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</si>
  <si>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</si>
  <si>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</si>
  <si>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</si>
  <si>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</si>
  <si>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</si>
  <si>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</si>
  <si>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</si>
  <si>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</si>
  <si>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</si>
  <si>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</si>
  <si>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</si>
  <si>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</si>
  <si>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</si>
  <si>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</si>
  <si>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</si>
  <si>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</si>
  <si>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</si>
  <si>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</si>
  <si>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</si>
  <si>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</si>
  <si>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</si>
  <si>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</si>
  <si>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</si>
  <si>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</si>
  <si>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</si>
  <si>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</si>
  <si>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</si>
  <si>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</si>
  <si>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</si>
  <si>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</si>
  <si>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</si>
  <si>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</si>
  <si>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</si>
  <si>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</si>
  <si>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</si>
  <si>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</si>
  <si>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</si>
  <si>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</si>
  <si>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</si>
  <si>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</si>
  <si>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</si>
  <si>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</si>
  <si>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</si>
  <si>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</si>
  <si>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</si>
  <si>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</si>
  <si>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</si>
  <si>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</si>
  <si>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</si>
  <si>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</si>
  <si>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</si>
  <si>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</si>
  <si>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</si>
  <si>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</si>
  <si>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</si>
  <si>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</si>
  <si>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</si>
  <si>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</si>
  <si>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</si>
  <si>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</si>
  <si>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</si>
  <si>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</si>
  <si>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</si>
  <si>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</si>
  <si>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</si>
  <si>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</si>
  <si>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</si>
  <si>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</si>
  <si>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</si>
  <si>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</si>
  <si>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</si>
  <si>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</si>
  <si>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</si>
  <si>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</si>
  <si>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</si>
  <si>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</si>
  <si>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</si>
  <si>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</si>
  <si>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</si>
  <si>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</si>
  <si>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</si>
  <si>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</si>
  <si>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</si>
  <si>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</si>
  <si>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</si>
  <si>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</si>
  <si>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</si>
  <si>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</si>
  <si>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</si>
  <si>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</si>
  <si>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</si>
  <si>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</si>
  <si>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</si>
  <si>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</si>
  <si>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</si>
  <si>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</si>
  <si>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</si>
  <si>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</si>
  <si>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</si>
  <si>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</si>
  <si>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</si>
  <si>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</si>
  <si>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</si>
  <si>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</si>
  <si>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</si>
  <si>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</si>
  <si>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</si>
  <si>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</si>
  <si>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</si>
  <si>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</si>
  <si>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</si>
  <si>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</si>
  <si>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</si>
  <si>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</si>
  <si>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</si>
  <si>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</si>
  <si>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</si>
  <si>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</si>
  <si>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</si>
  <si>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</si>
  <si>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</si>
  <si>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</si>
  <si>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</si>
  <si>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</si>
  <si>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</si>
  <si>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</si>
  <si>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</si>
  <si>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</si>
  <si>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</si>
  <si>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</si>
  <si>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</si>
  <si>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</si>
  <si>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</si>
  <si>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</si>
  <si>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</si>
  <si>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</si>
  <si>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</si>
  <si>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</si>
  <si>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</si>
  <si>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</si>
  <si>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</si>
  <si>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</si>
  <si>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</si>
  <si>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</si>
  <si>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</si>
  <si>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</si>
  <si>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</si>
  <si>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</si>
  <si>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</si>
  <si>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</si>
  <si>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</si>
  <si>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</si>
  <si>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</si>
  <si>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</si>
  <si>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</si>
  <si>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</si>
  <si>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</si>
  <si>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</si>
  <si>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</si>
  <si>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</si>
  <si>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</si>
  <si>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</si>
  <si>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</si>
  <si>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</si>
  <si>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</si>
  <si>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</si>
  <si>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</si>
  <si>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</si>
  <si>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</si>
  <si>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</si>
  <si>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</si>
  <si>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</si>
  <si>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</si>
  <si>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</si>
  <si>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</si>
  <si>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</si>
  <si>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</si>
  <si>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</si>
  <si>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</si>
  <si>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</si>
  <si>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</si>
  <si>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</si>
  <si>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</si>
  <si>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</si>
  <si>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</si>
  <si>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</si>
  <si>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</si>
  <si>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</si>
  <si>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</si>
  <si>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</si>
  <si>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</si>
  <si>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</si>
  <si>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</si>
  <si>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</si>
  <si>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</si>
  <si>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</si>
  <si>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</si>
  <si>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</si>
  <si>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</si>
  <si>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</si>
  <si>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</si>
  <si>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</si>
  <si>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</si>
  <si>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</si>
  <si>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</si>
  <si>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</si>
  <si>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</si>
  <si>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</si>
  <si>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</si>
  <si>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</si>
  <si>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</si>
  <si>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</si>
  <si>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</si>
  <si>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</si>
  <si>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</si>
  <si>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</si>
  <si>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</si>
  <si>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</si>
  <si>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</si>
  <si>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</si>
  <si>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</si>
  <si>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</si>
  <si>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</si>
  <si>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</si>
  <si>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</si>
  <si>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</si>
  <si>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</si>
  <si>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</si>
  <si>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</si>
  <si>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</si>
  <si>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</si>
  <si>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</si>
  <si>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</si>
  <si>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</si>
  <si>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</si>
  <si>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</si>
  <si>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</si>
  <si>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</si>
  <si>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</si>
  <si>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</si>
  <si>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</si>
  <si>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</si>
  <si>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</si>
  <si>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</si>
  <si>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</si>
  <si>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</si>
  <si>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</si>
  <si>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</si>
  <si>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</si>
  <si>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</si>
  <si>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</si>
  <si>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</si>
  <si>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</si>
  <si>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</si>
  <si>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</si>
  <si>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</si>
  <si>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</si>
  <si>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</si>
  <si>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</si>
  <si>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</si>
  <si>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</si>
  <si>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</si>
  <si>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</si>
  <si>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</si>
  <si>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</si>
  <si>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</si>
  <si>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</si>
  <si>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</si>
  <si>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</si>
  <si>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</si>
  <si>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</si>
  <si>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</si>
  <si>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</si>
  <si>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</si>
  <si>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</si>
  <si>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</si>
  <si>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</si>
  <si>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</si>
  <si>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</si>
  <si>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</si>
  <si>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</si>
  <si>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</si>
  <si>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</si>
  <si>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</si>
  <si>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</si>
  <si>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</si>
  <si>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</si>
  <si>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</si>
  <si>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</si>
  <si>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</si>
  <si>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</si>
  <si>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</si>
  <si>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</si>
  <si>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</si>
  <si>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</si>
  <si>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</si>
  <si>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</si>
  <si>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</si>
  <si>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</si>
  <si>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</si>
  <si>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</si>
  <si>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</si>
  <si>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</si>
  <si>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</si>
  <si>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</si>
  <si>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</si>
  <si>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</si>
  <si>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</si>
  <si>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</si>
  <si>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</si>
  <si>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</si>
  <si>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</si>
  <si>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</si>
  <si>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</si>
  <si>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</si>
  <si>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</si>
  <si>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</si>
  <si>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</si>
  <si>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</si>
  <si>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</si>
  <si>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</si>
  <si>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</si>
  <si>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</si>
  <si>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</si>
  <si>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</si>
  <si>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</si>
  <si>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</si>
  <si>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</si>
  <si>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</si>
  <si>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</si>
  <si>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</si>
  <si>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</si>
  <si>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</si>
  <si>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</si>
  <si>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</si>
  <si>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</si>
  <si>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</si>
  <si>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</si>
  <si>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</si>
  <si>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</si>
  <si>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</si>
  <si>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</si>
  <si>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</si>
  <si>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</si>
  <si>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</si>
  <si>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</si>
  <si>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Mr. Kevin Horn </t>
    </r>
    <r>
      <rPr>
        <sz val="11"/>
        <rFont val="Calibri"/>
        <family val="2"/>
        <scheme val="minor"/>
      </rPr>
      <t>motivated his colleagues in Georgia to do the translation into Georgian language. Thank you very much Kevin and team!</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</si>
  <si>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</si>
  <si>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</si>
  <si>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</si>
  <si>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</si>
  <si>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</si>
  <si>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</si>
  <si>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</si>
  <si>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</si>
  <si>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</si>
  <si>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</si>
  <si>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</si>
  <si>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</si>
  <si>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</si>
  <si>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</si>
  <si>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</si>
  <si>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</si>
  <si>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</si>
  <si>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</si>
  <si>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</si>
  <si>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</si>
  <si>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</si>
  <si>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</si>
  <si>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</si>
  <si>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</si>
  <si>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</si>
  <si>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</si>
  <si>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</si>
  <si>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</si>
  <si>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</si>
  <si>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</si>
  <si>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</si>
  <si>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</si>
  <si>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</si>
  <si>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</si>
  <si>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</si>
  <si>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</si>
  <si>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</si>
  <si>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</si>
  <si>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</si>
  <si>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</si>
  <si>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</si>
  <si>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</si>
  <si>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</si>
  <si>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</si>
  <si>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</si>
  <si>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</si>
  <si>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</si>
  <si>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</si>
  <si>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</si>
  <si>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</si>
  <si>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</si>
  <si>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</si>
  <si>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</si>
  <si>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</si>
  <si>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</si>
  <si>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</si>
  <si>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</si>
  <si>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</si>
  <si>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</si>
  <si>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</si>
  <si>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</si>
  <si>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</si>
  <si>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</si>
  <si>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</si>
  <si>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</si>
  <si>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</si>
  <si>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</si>
  <si>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</si>
  <si>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</si>
  <si>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</si>
  <si>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</si>
  <si>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</si>
  <si>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</si>
  <si>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</si>
  <si>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</si>
  <si>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</si>
  <si>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</si>
  <si>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</si>
  <si>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</si>
  <si>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</si>
  <si>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</si>
  <si>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</si>
  <si>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</si>
  <si>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</si>
  <si>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</si>
  <si>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</si>
  <si>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</si>
  <si>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</si>
  <si>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</si>
  <si>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</si>
  <si>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</si>
  <si>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</si>
  <si>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</si>
  <si>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</si>
  <si>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</si>
  <si>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</si>
  <si>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</si>
  <si>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</si>
  <si>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</si>
  <si>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</si>
  <si>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</si>
  <si>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</si>
  <si>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</si>
  <si>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</si>
  <si>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</si>
  <si>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</si>
  <si>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</si>
  <si>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</si>
  <si>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</si>
  <si>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</si>
  <si>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</si>
  <si>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</si>
  <si>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</si>
  <si>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</si>
  <si>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</si>
  <si>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Prodhimi variabël dhe kostoja e distribuimit</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</si>
  <si>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</si>
  <si>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</si>
  <si>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</si>
  <si>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</si>
  <si>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</si>
  <si>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r>
      <t xml:space="preserve">The free water balance software
</t>
    </r>
    <r>
      <rPr>
        <sz val="16"/>
        <color theme="0"/>
        <rFont val="Calibri"/>
        <family val="2"/>
        <scheme val="minor"/>
      </rPr>
      <t>Version 5.12 (22 February 2017)</t>
    </r>
  </si>
  <si>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</si>
  <si>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</si>
  <si>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</si>
  <si>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</si>
  <si>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</si>
  <si>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</si>
  <si>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</si>
  <si>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</si>
  <si>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</si>
  <si>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</si>
  <si>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</si>
  <si>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</si>
  <si>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</si>
  <si>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</si>
  <si>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</si>
  <si>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</si>
  <si>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</si>
  <si>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</si>
  <si>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</si>
  <si>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</si>
  <si>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</si>
  <si>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</si>
  <si>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</si>
  <si>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</si>
  <si>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</si>
  <si>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</si>
  <si>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</si>
  <si>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</si>
  <si>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</si>
  <si>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</si>
  <si>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</si>
  <si>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</si>
  <si>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</si>
  <si>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</si>
  <si>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</si>
  <si>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</si>
  <si>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</si>
  <si>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</si>
  <si>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</si>
  <si>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</si>
  <si>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</si>
  <si>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</si>
  <si>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</si>
  <si>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</si>
  <si>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</si>
  <si>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</si>
  <si>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</si>
  <si>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</si>
  <si>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</si>
  <si>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</si>
  <si>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</si>
  <si>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</si>
  <si>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</si>
  <si>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</si>
  <si>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</si>
  <si>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</si>
  <si>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</si>
  <si>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</si>
  <si>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</si>
  <si>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</si>
  <si>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</si>
  <si>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</si>
  <si>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</si>
  <si>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</si>
  <si>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</si>
  <si>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</si>
  <si>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</si>
  <si>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</si>
  <si>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</si>
  <si>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</si>
  <si>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</si>
  <si>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</si>
  <si>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</si>
  <si>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</si>
  <si>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</si>
  <si>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</si>
  <si>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</si>
  <si>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</si>
  <si>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</si>
  <si>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</si>
  <si>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</si>
  <si>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</si>
  <si>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</si>
  <si>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</si>
  <si>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</si>
  <si>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</si>
  <si>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</si>
  <si>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</si>
  <si>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</si>
  <si>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</si>
  <si>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</si>
  <si>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</si>
  <si>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</si>
  <si>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</si>
  <si>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</si>
  <si>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</si>
  <si>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</si>
  <si>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</si>
  <si>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</si>
  <si>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</si>
  <si>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</si>
  <si>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</si>
  <si>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</si>
  <si>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</si>
  <si>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</si>
  <si>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</si>
  <si>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</si>
  <si>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</si>
  <si>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</si>
  <si>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</si>
  <si>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</si>
  <si>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</si>
  <si>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</si>
  <si>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</si>
  <si>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</si>
  <si>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</si>
  <si>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</si>
  <si>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</si>
  <si>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</si>
  <si>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</si>
  <si>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</si>
  <si>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</si>
  <si>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</si>
  <si>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</si>
  <si>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</si>
  <si>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</si>
  <si>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</si>
  <si>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</si>
  <si>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</si>
  <si>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</si>
  <si>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</si>
  <si>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</si>
  <si>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</si>
  <si>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</si>
  <si>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</si>
  <si>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</si>
  <si>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</si>
  <si>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</si>
  <si>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</si>
  <si>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</si>
  <si>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</si>
  <si>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</si>
  <si>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</si>
  <si>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</si>
  <si>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</si>
  <si>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</si>
  <si>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</si>
  <si>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</si>
  <si>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</si>
  <si>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</si>
  <si>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</si>
  <si>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</si>
  <si>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</si>
  <si>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</si>
  <si>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</si>
  <si>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</si>
  <si>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</si>
  <si>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</si>
  <si>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</si>
  <si>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</si>
  <si>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</si>
  <si>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</si>
  <si>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</si>
  <si>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</si>
  <si>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</si>
  <si>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</si>
  <si>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</si>
  <si>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</si>
  <si>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</si>
  <si>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</si>
  <si>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</si>
  <si>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</si>
  <si>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</si>
  <si>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</si>
  <si>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</si>
  <si>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</si>
  <si>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</si>
  <si>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</si>
  <si>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</si>
  <si>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</si>
  <si>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</si>
  <si>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</si>
  <si>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</si>
  <si>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</si>
  <si>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</si>
  <si>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
</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</si>
</sst>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0.0"/>
    <numFmt numFmtId="166" formatCode="0.0%"/>
    <numFmt numFmtId="167" formatCode="_-* #,##0.0_-;\-* #,##0.0_-;_-* &quot;-&quot;??_-;_-@_-"/>
    <numFmt numFmtId="168" formatCode="_-* #,##0_-;\-* #,##0_-;_-* &quot;-&quot;??_-;_-@_-"/>
    <numFmt numFmtId="169" formatCode="0.000%"/>
    <numFmt numFmtId="170" formatCode="#,##0.0"/>
  </numFmts>
  <fonts count="78">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s>
  <cellStyleXfs count="5">
    <xf numFmtId="0" fontId="0" fillId="0" borderId="0"/>
    <xf numFmtId="164"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cellStyleXfs>
  <cellXfs count="833">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8" fontId="43" fillId="0" borderId="3" xfId="1" applyNumberFormat="1" applyFont="1" applyFill="1" applyBorder="1" applyProtection="1">
      <protection locked="0" hidden="1"/>
    </xf>
    <xf numFmtId="0" fontId="43" fillId="0" borderId="4" xfId="0" applyFont="1" applyFill="1" applyBorder="1" applyProtection="1">
      <protection locked="0" hidden="1"/>
    </xf>
    <xf numFmtId="168" fontId="43" fillId="0" borderId="4" xfId="1" applyNumberFormat="1" applyFont="1" applyFill="1" applyBorder="1" applyProtection="1">
      <protection locked="0" hidden="1"/>
    </xf>
    <xf numFmtId="168" fontId="43" fillId="11" borderId="0" xfId="1" applyNumberFormat="1" applyFont="1" applyFill="1" applyProtection="1">
      <protection hidden="1"/>
    </xf>
    <xf numFmtId="168" fontId="26" fillId="16" borderId="81" xfId="1" applyNumberFormat="1" applyFont="1" applyFill="1" applyBorder="1" applyProtection="1">
      <protection hidden="1"/>
    </xf>
    <xf numFmtId="0" fontId="48" fillId="11" borderId="0" xfId="0" applyFont="1" applyFill="1" applyProtection="1">
      <protection hidden="1"/>
    </xf>
    <xf numFmtId="166" fontId="43" fillId="0" borderId="3" xfId="3" applyNumberFormat="1" applyFont="1" applyFill="1" applyBorder="1" applyProtection="1">
      <protection locked="0" hidden="1"/>
    </xf>
    <xf numFmtId="166" fontId="43" fillId="0" borderId="4" xfId="3" applyNumberFormat="1" applyFont="1" applyFill="1" applyBorder="1" applyProtection="1">
      <protection locked="0" hidden="1"/>
    </xf>
    <xf numFmtId="166"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8"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8" fontId="43" fillId="0" borderId="2" xfId="1" applyNumberFormat="1" applyFont="1" applyFill="1" applyBorder="1" applyAlignment="1" applyProtection="1">
      <alignment vertical="center"/>
      <protection locked="0" hidden="1"/>
    </xf>
    <xf numFmtId="166"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8" fontId="43" fillId="0" borderId="3" xfId="1" applyNumberFormat="1" applyFont="1" applyFill="1" applyBorder="1" applyAlignment="1" applyProtection="1">
      <alignment vertical="center"/>
      <protection locked="0" hidden="1"/>
    </xf>
    <xf numFmtId="166"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8" fontId="43" fillId="0" borderId="4" xfId="1" applyNumberFormat="1" applyFont="1" applyFill="1" applyBorder="1" applyAlignment="1" applyProtection="1">
      <alignment vertical="center"/>
      <protection locked="0" hidden="1"/>
    </xf>
    <xf numFmtId="166" fontId="43" fillId="0" borderId="4" xfId="3" applyNumberFormat="1" applyFont="1" applyFill="1" applyBorder="1" applyAlignment="1" applyProtection="1">
      <alignment vertical="center"/>
      <protection locked="0" hidden="1"/>
    </xf>
    <xf numFmtId="166"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8" fontId="28" fillId="15" borderId="1" xfId="1" applyNumberFormat="1" applyFont="1" applyFill="1" applyBorder="1" applyAlignment="1" applyProtection="1">
      <alignment vertical="center"/>
      <protection hidden="1"/>
    </xf>
    <xf numFmtId="168"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8"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8"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5"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5"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8" fontId="43" fillId="0" borderId="2" xfId="1" applyNumberFormat="1" applyFont="1" applyFill="1" applyBorder="1" applyAlignment="1" applyProtection="1">
      <alignment vertical="center"/>
      <protection hidden="1"/>
    </xf>
    <xf numFmtId="168" fontId="43" fillId="0" borderId="3" xfId="1" applyNumberFormat="1" applyFont="1" applyFill="1" applyBorder="1" applyAlignment="1" applyProtection="1">
      <alignment vertical="center"/>
      <protection hidden="1"/>
    </xf>
    <xf numFmtId="168" fontId="43" fillId="0" borderId="4" xfId="1" applyNumberFormat="1" applyFont="1" applyFill="1" applyBorder="1" applyAlignment="1" applyProtection="1">
      <alignment vertical="center"/>
      <protection hidden="1"/>
    </xf>
    <xf numFmtId="166" fontId="43" fillId="0" borderId="1" xfId="3" applyNumberFormat="1" applyFont="1" applyFill="1" applyBorder="1" applyAlignment="1" applyProtection="1">
      <alignment vertical="center"/>
      <protection locked="0" hidden="1"/>
    </xf>
    <xf numFmtId="168" fontId="27" fillId="16" borderId="81" xfId="1" applyNumberFormat="1" applyFont="1" applyFill="1" applyBorder="1" applyAlignment="1" applyProtection="1">
      <alignment vertical="center"/>
      <protection hidden="1"/>
    </xf>
    <xf numFmtId="168" fontId="27" fillId="16" borderId="66" xfId="1" applyNumberFormat="1" applyFont="1" applyFill="1" applyBorder="1" applyAlignment="1" applyProtection="1">
      <alignment vertical="center"/>
      <protection hidden="1"/>
    </xf>
    <xf numFmtId="168" fontId="27" fillId="16" borderId="71" xfId="1" applyNumberFormat="1" applyFont="1" applyFill="1" applyBorder="1" applyAlignment="1" applyProtection="1">
      <alignment vertical="center"/>
      <protection hidden="1"/>
    </xf>
    <xf numFmtId="168"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6" fontId="43" fillId="0" borderId="3"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164"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164"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7" fontId="43" fillId="11" borderId="0" xfId="1" applyNumberFormat="1" applyFont="1" applyFill="1" applyBorder="1" applyProtection="1">
      <protection hidden="1"/>
    </xf>
    <xf numFmtId="164"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6" fontId="48" fillId="11" borderId="0" xfId="3" applyNumberFormat="1" applyFont="1" applyFill="1" applyProtection="1">
      <protection hidden="1"/>
    </xf>
    <xf numFmtId="165" fontId="43" fillId="11" borderId="0" xfId="0" applyNumberFormat="1" applyFont="1" applyFill="1" applyAlignment="1" applyProtection="1">
      <alignment horizontal="center"/>
      <protection hidden="1"/>
    </xf>
    <xf numFmtId="170" fontId="43" fillId="11" borderId="0" xfId="0" applyNumberFormat="1" applyFont="1" applyFill="1" applyProtection="1">
      <protection hidden="1"/>
    </xf>
    <xf numFmtId="0" fontId="50" fillId="11" borderId="0" xfId="0" applyFont="1" applyFill="1" applyProtection="1">
      <protection hidden="1"/>
    </xf>
    <xf numFmtId="167" fontId="26" fillId="16" borderId="81" xfId="1" applyNumberFormat="1" applyFont="1" applyFill="1" applyBorder="1" applyProtection="1">
      <protection hidden="1"/>
    </xf>
    <xf numFmtId="167" fontId="43" fillId="15" borderId="1" xfId="1" applyNumberFormat="1" applyFont="1" applyFill="1" applyBorder="1" applyProtection="1">
      <protection hidden="1"/>
    </xf>
    <xf numFmtId="170" fontId="43" fillId="0" borderId="3" xfId="0" applyNumberFormat="1" applyFont="1" applyFill="1" applyBorder="1" applyProtection="1">
      <protection locked="0" hidden="1"/>
    </xf>
    <xf numFmtId="170" fontId="43" fillId="0" borderId="4" xfId="0" applyNumberFormat="1" applyFont="1" applyFill="1" applyBorder="1" applyProtection="1">
      <protection locked="0" hidden="1"/>
    </xf>
    <xf numFmtId="165"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8" fontId="43" fillId="0" borderId="2" xfId="1" applyNumberFormat="1" applyFont="1" applyFill="1" applyBorder="1" applyAlignment="1" applyProtection="1">
      <alignment vertical="center"/>
      <protection locked="0"/>
    </xf>
    <xf numFmtId="168" fontId="43" fillId="0" borderId="3" xfId="1" applyNumberFormat="1" applyFont="1" applyFill="1" applyBorder="1" applyAlignment="1" applyProtection="1">
      <alignment vertical="center"/>
      <protection locked="0"/>
    </xf>
    <xf numFmtId="168" fontId="43" fillId="0" borderId="4" xfId="1" applyNumberFormat="1"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164"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6" fontId="4" fillId="18" borderId="15" xfId="3" applyNumberFormat="1" applyFont="1" applyFill="1" applyBorder="1" applyAlignment="1" applyProtection="1">
      <alignment vertical="center"/>
      <protection hidden="1"/>
    </xf>
    <xf numFmtId="166" fontId="4" fillId="18" borderId="0" xfId="3" applyNumberFormat="1" applyFont="1" applyFill="1" applyBorder="1" applyAlignment="1" applyProtection="1">
      <alignment vertical="center"/>
      <protection hidden="1"/>
    </xf>
    <xf numFmtId="166"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6" fontId="4" fillId="18" borderId="109" xfId="3" applyNumberFormat="1" applyFont="1" applyFill="1" applyBorder="1" applyAlignment="1" applyProtection="1">
      <alignment vertical="center"/>
      <protection hidden="1"/>
    </xf>
    <xf numFmtId="166" fontId="4" fillId="18" borderId="107" xfId="3" applyNumberFormat="1" applyFont="1" applyFill="1" applyBorder="1" applyAlignment="1" applyProtection="1">
      <alignment vertical="center"/>
      <protection hidden="1"/>
    </xf>
    <xf numFmtId="166"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8" fontId="48" fillId="19" borderId="0" xfId="1" applyNumberFormat="1" applyFont="1" applyFill="1" applyAlignment="1" applyProtection="1">
      <alignment vertical="center"/>
      <protection hidden="1"/>
    </xf>
    <xf numFmtId="165" fontId="48" fillId="19" borderId="0" xfId="0" applyNumberFormat="1" applyFont="1" applyFill="1" applyAlignment="1" applyProtection="1">
      <alignment vertical="center"/>
      <protection hidden="1"/>
    </xf>
    <xf numFmtId="165"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70"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6"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8"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8" fontId="48" fillId="11" borderId="0" xfId="0" applyNumberFormat="1" applyFont="1" applyFill="1" applyAlignment="1" applyProtection="1">
      <alignment vertical="center"/>
      <protection hidden="1"/>
    </xf>
    <xf numFmtId="169"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5"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3" fillId="12" borderId="41" xfId="0" applyFont="1" applyFill="1" applyBorder="1" applyAlignment="1" applyProtection="1">
      <alignment wrapText="1"/>
      <protection hidden="1"/>
    </xf>
    <xf numFmtId="3" fontId="43" fillId="12" borderId="41" xfId="0" applyNumberFormat="1" applyFont="1" applyFill="1" applyBorder="1" applyAlignment="1" applyProtection="1">
      <alignment wrapText="1"/>
      <protection hidden="1"/>
    </xf>
    <xf numFmtId="3" fontId="43" fillId="14" borderId="41" xfId="0" applyNumberFormat="1" applyFont="1" applyFill="1" applyBorder="1" applyProtection="1">
      <protection locked="0"/>
    </xf>
    <xf numFmtId="3" fontId="43" fillId="13" borderId="41" xfId="0" applyNumberFormat="1" applyFont="1" applyFill="1" applyBorder="1" applyProtection="1">
      <protection locked="0"/>
    </xf>
    <xf numFmtId="0" fontId="42" fillId="12" borderId="41" xfId="0" applyFont="1" applyFill="1" applyBorder="1" applyAlignment="1" applyProtection="1">
      <alignment wrapText="1"/>
      <protection hidden="1"/>
    </xf>
    <xf numFmtId="1" fontId="43" fillId="12" borderId="41" xfId="0" applyNumberFormat="1" applyFont="1" applyFill="1" applyBorder="1" applyAlignment="1" applyProtection="1">
      <alignment wrapText="1"/>
      <protection hidden="1"/>
    </xf>
    <xf numFmtId="0" fontId="43" fillId="12" borderId="38" xfId="0" applyFont="1" applyFill="1" applyBorder="1" applyAlignment="1" applyProtection="1">
      <alignment wrapText="1"/>
      <protection hidden="1"/>
    </xf>
    <xf numFmtId="2" fontId="43" fillId="12" borderId="41" xfId="0" applyNumberFormat="1" applyFont="1" applyFill="1" applyBorder="1" applyAlignment="1" applyProtection="1">
      <alignment wrapText="1"/>
      <protection hidden="1"/>
    </xf>
    <xf numFmtId="4" fontId="43" fillId="14" borderId="41" xfId="0" applyNumberFormat="1" applyFont="1" applyFill="1" applyBorder="1" applyProtection="1">
      <protection locked="0"/>
    </xf>
    <xf numFmtId="4" fontId="43" fillId="13" borderId="41" xfId="0" applyNumberFormat="1" applyFont="1" applyFill="1" applyBorder="1" applyProtection="1">
      <protection locked="0"/>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68" fontId="3" fillId="0" borderId="112" xfId="1" applyNumberFormat="1" applyFont="1" applyFill="1" applyBorder="1" applyAlignment="1" applyProtection="1">
      <alignment vertical="center"/>
      <protection locked="0"/>
    </xf>
    <xf numFmtId="168"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8" fontId="43" fillId="0" borderId="2" xfId="1" applyNumberFormat="1" applyFont="1" applyFill="1" applyBorder="1" applyProtection="1">
      <protection locked="0"/>
    </xf>
    <xf numFmtId="168" fontId="43" fillId="0" borderId="3" xfId="1" applyNumberFormat="1" applyFont="1" applyFill="1" applyBorder="1" applyProtection="1">
      <protection locked="0"/>
    </xf>
    <xf numFmtId="168"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5" fontId="27" fillId="16" borderId="83" xfId="3" applyNumberFormat="1" applyFont="1" applyFill="1" applyBorder="1" applyAlignment="1" applyProtection="1">
      <alignment vertical="center"/>
      <protection hidden="1"/>
    </xf>
    <xf numFmtId="165"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6" fontId="43" fillId="0" borderId="2" xfId="3" applyNumberFormat="1" applyFont="1" applyFill="1" applyBorder="1" applyAlignment="1" applyProtection="1">
      <alignment horizontal="right" vertical="center"/>
      <protection locked="0" hidden="1"/>
    </xf>
    <xf numFmtId="168" fontId="2" fillId="0" borderId="111" xfId="1" applyNumberFormat="1" applyFont="1" applyFill="1" applyBorder="1" applyAlignment="1" applyProtection="1">
      <alignment vertical="center"/>
      <protection locked="0"/>
    </xf>
    <xf numFmtId="168"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7"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8" fontId="43" fillId="0" borderId="2" xfId="1" applyNumberFormat="1" applyFont="1" applyFill="1" applyBorder="1" applyProtection="1">
      <protection locked="0" hidden="1"/>
    </xf>
    <xf numFmtId="166" fontId="43" fillId="0" borderId="2" xfId="3" applyNumberFormat="1" applyFont="1" applyFill="1" applyBorder="1" applyProtection="1">
      <protection locked="0" hidden="1"/>
    </xf>
    <xf numFmtId="0" fontId="51" fillId="11" borderId="0" xfId="0" applyFont="1" applyFill="1" applyProtection="1">
      <protection hidden="1"/>
    </xf>
    <xf numFmtId="170"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7"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6" fontId="27" fillId="16" borderId="84" xfId="3" applyNumberFormat="1" applyFont="1" applyFill="1" applyBorder="1" applyAlignment="1" applyProtection="1">
      <alignment horizontal="right" vertical="center"/>
      <protection locked="0" hidden="1"/>
    </xf>
    <xf numFmtId="166"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6" fontId="43" fillId="0" borderId="2" xfId="3" applyNumberFormat="1" applyFont="1" applyFill="1" applyBorder="1" applyAlignment="1" applyProtection="1">
      <alignment horizontal="right" vertical="center"/>
      <protection locked="0" hidden="1"/>
    </xf>
    <xf numFmtId="166"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8" fontId="26" fillId="16" borderId="64" xfId="1" applyNumberFormat="1" applyFont="1" applyFill="1" applyBorder="1" applyAlignment="1" applyProtection="1">
      <alignment horizontal="center" vertical="center"/>
      <protection hidden="1"/>
    </xf>
    <xf numFmtId="168" fontId="26" fillId="16" borderId="65" xfId="1" applyNumberFormat="1" applyFont="1" applyFill="1" applyBorder="1" applyAlignment="1" applyProtection="1">
      <alignment horizontal="center" vertical="center"/>
      <protection hidden="1"/>
    </xf>
    <xf numFmtId="168" fontId="26" fillId="16" borderId="66" xfId="1" applyNumberFormat="1" applyFont="1" applyFill="1" applyBorder="1" applyAlignment="1" applyProtection="1">
      <alignment horizontal="center" vertical="center"/>
      <protection hidden="1"/>
    </xf>
    <xf numFmtId="168" fontId="26" fillId="16" borderId="70" xfId="1" applyNumberFormat="1" applyFont="1" applyFill="1" applyBorder="1" applyAlignment="1" applyProtection="1">
      <alignment horizontal="center" vertical="center"/>
      <protection hidden="1"/>
    </xf>
    <xf numFmtId="168" fontId="26" fillId="16" borderId="0" xfId="1" applyNumberFormat="1" applyFont="1" applyFill="1" applyBorder="1" applyAlignment="1" applyProtection="1">
      <alignment horizontal="center" vertical="center"/>
      <protection hidden="1"/>
    </xf>
    <xf numFmtId="168" fontId="26" fillId="16" borderId="71" xfId="1" applyNumberFormat="1" applyFont="1" applyFill="1" applyBorder="1" applyAlignment="1" applyProtection="1">
      <alignment horizontal="center" vertical="center"/>
      <protection hidden="1"/>
    </xf>
    <xf numFmtId="168" fontId="26" fillId="16" borderId="67" xfId="1" applyNumberFormat="1" applyFont="1" applyFill="1" applyBorder="1" applyAlignment="1" applyProtection="1">
      <alignment horizontal="center" vertical="center"/>
      <protection hidden="1"/>
    </xf>
    <xf numFmtId="168" fontId="26" fillId="16" borderId="68" xfId="1" applyNumberFormat="1" applyFont="1" applyFill="1" applyBorder="1" applyAlignment="1" applyProtection="1">
      <alignment horizontal="center" vertical="center"/>
      <protection hidden="1"/>
    </xf>
    <xf numFmtId="168" fontId="26" fillId="16" borderId="69" xfId="1" applyNumberFormat="1" applyFont="1" applyFill="1" applyBorder="1" applyAlignment="1" applyProtection="1">
      <alignment horizontal="center" vertical="center"/>
      <protection hidden="1"/>
    </xf>
    <xf numFmtId="168" fontId="26" fillId="16" borderId="82" xfId="1" applyNumberFormat="1" applyFont="1" applyFill="1" applyBorder="1" applyAlignment="1" applyProtection="1">
      <alignment horizontal="center" vertical="center"/>
      <protection hidden="1"/>
    </xf>
    <xf numFmtId="168" fontId="26" fillId="16" borderId="72" xfId="1" applyNumberFormat="1" applyFont="1" applyFill="1" applyBorder="1" applyAlignment="1" applyProtection="1">
      <alignment horizontal="center" vertical="center"/>
      <protection hidden="1"/>
    </xf>
    <xf numFmtId="168" fontId="26" fillId="16" borderId="83" xfId="1" applyNumberFormat="1" applyFont="1" applyFill="1" applyBorder="1" applyAlignment="1" applyProtection="1">
      <alignment horizontal="center" vertical="center"/>
      <protection hidden="1"/>
    </xf>
    <xf numFmtId="168"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164" fontId="43" fillId="0" borderId="28" xfId="1" applyFont="1" applyFill="1" applyBorder="1" applyAlignment="1" applyProtection="1">
      <alignment horizontal="center" vertical="center"/>
      <protection locked="0" hidden="1"/>
    </xf>
    <xf numFmtId="164" fontId="43" fillId="0" borderId="41" xfId="1" applyFont="1" applyFill="1" applyBorder="1" applyAlignment="1" applyProtection="1">
      <alignment horizontal="center" vertical="center"/>
      <protection locked="0" hidden="1"/>
    </xf>
    <xf numFmtId="164"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8" fontId="42" fillId="0" borderId="35" xfId="1" applyNumberFormat="1" applyFont="1" applyFill="1" applyBorder="1" applyAlignment="1" applyProtection="1">
      <alignment horizontal="center" vertical="center" wrapText="1"/>
      <protection locked="0"/>
    </xf>
    <xf numFmtId="168" fontId="42" fillId="0" borderId="16" xfId="1" applyNumberFormat="1" applyFont="1" applyFill="1" applyBorder="1" applyAlignment="1" applyProtection="1">
      <alignment horizontal="center" vertical="center" wrapText="1"/>
      <protection locked="0"/>
    </xf>
    <xf numFmtId="168" fontId="42" fillId="0" borderId="36" xfId="1" applyNumberFormat="1" applyFont="1" applyFill="1" applyBorder="1" applyAlignment="1" applyProtection="1">
      <alignment horizontal="center" vertical="center" wrapText="1"/>
      <protection locked="0"/>
    </xf>
    <xf numFmtId="168" fontId="42" fillId="0" borderId="37" xfId="1" applyNumberFormat="1" applyFont="1" applyFill="1" applyBorder="1" applyAlignment="1" applyProtection="1">
      <alignment horizontal="center" vertical="center" wrapText="1"/>
      <protection locked="0"/>
    </xf>
    <xf numFmtId="168" fontId="42" fillId="0" borderId="38" xfId="1" applyNumberFormat="1" applyFont="1" applyFill="1" applyBorder="1" applyAlignment="1" applyProtection="1">
      <alignment horizontal="center" vertical="center" wrapText="1"/>
      <protection locked="0"/>
    </xf>
    <xf numFmtId="168" fontId="42" fillId="0" borderId="39" xfId="1" applyNumberFormat="1" applyFont="1" applyFill="1" applyBorder="1" applyAlignment="1" applyProtection="1">
      <alignment horizontal="center" vertical="center" wrapText="1"/>
      <protection locked="0"/>
    </xf>
    <xf numFmtId="168"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6" fontId="4" fillId="18" borderId="107" xfId="3" applyNumberFormat="1" applyFont="1" applyFill="1" applyBorder="1" applyAlignment="1" applyProtection="1">
      <alignment horizontal="left" vertical="center"/>
      <protection hidden="1"/>
    </xf>
    <xf numFmtId="166"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6" fontId="4" fillId="18" borderId="15" xfId="3" applyNumberFormat="1" applyFont="1" applyFill="1" applyBorder="1" applyAlignment="1" applyProtection="1">
      <alignment horizontal="center" vertical="center"/>
      <protection hidden="1"/>
    </xf>
    <xf numFmtId="166" fontId="4" fillId="18" borderId="0" xfId="3" applyNumberFormat="1" applyFont="1" applyFill="1" applyBorder="1" applyAlignment="1" applyProtection="1">
      <alignment horizontal="center" vertical="center"/>
      <protection hidden="1"/>
    </xf>
    <xf numFmtId="166" fontId="4"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6" fontId="4" fillId="18" borderId="0" xfId="3" applyNumberFormat="1" applyFont="1" applyFill="1" applyBorder="1" applyAlignment="1" applyProtection="1">
      <alignment horizontal="left" vertical="center"/>
      <protection hidden="1"/>
    </xf>
    <xf numFmtId="166" fontId="4"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6" fontId="55" fillId="18" borderId="0" xfId="3" applyNumberFormat="1" applyFont="1" applyFill="1" applyBorder="1" applyAlignment="1" applyProtection="1">
      <alignment horizontal="left" vertical="center"/>
      <protection hidden="1"/>
    </xf>
    <xf numFmtId="166" fontId="55"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6" fontId="4"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6" fontId="4" fillId="11" borderId="102" xfId="3" applyNumberFormat="1" applyFont="1" applyFill="1" applyBorder="1" applyAlignment="1" applyProtection="1">
      <alignment horizontal="center" vertical="center"/>
      <protection hidden="1"/>
    </xf>
    <xf numFmtId="166" fontId="4" fillId="11" borderId="0" xfId="3" applyNumberFormat="1" applyFont="1" applyFill="1" applyBorder="1" applyAlignment="1" applyProtection="1">
      <alignment horizontal="center" vertical="center"/>
      <protection hidden="1"/>
    </xf>
    <xf numFmtId="166"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6" fontId="4"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3" fillId="11" borderId="0" xfId="0" applyFont="1" applyFill="1" applyAlignment="1" applyProtection="1">
      <alignment horizontal="center" vertical="center"/>
      <protection hidden="1"/>
    </xf>
    <xf numFmtId="0" fontId="43" fillId="11" borderId="0" xfId="0" applyFont="1" applyFill="1" applyAlignment="1">
      <alignment vertical="center"/>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5">
    <cellStyle name="Komma" xfId="1" builtinId="3"/>
    <cellStyle name="Link" xfId="2" builtinId="8"/>
    <cellStyle name="Prozent" xfId="3" builtinId="5"/>
    <cellStyle name="Standard" xfId="0" builtinId="0"/>
    <cellStyle name="ปกติ_Sheet1" xfId="4"/>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xdr:cNvGrpSpPr>
          <a:grpSpLocks/>
        </xdr:cNvGrpSpPr>
      </xdr:nvGrpSpPr>
      <xdr:grpSpPr bwMode="auto">
        <a:xfrm>
          <a:off x="142875" y="6053570"/>
          <a:ext cx="715241" cy="216478"/>
          <a:chOff x="377" y="337"/>
          <a:chExt cx="74" cy="23"/>
        </a:xfrm>
      </xdr:grpSpPr>
      <xdr:pic>
        <xdr:nvPicPr>
          <xdr:cNvPr id="8213" name="Picture 23"/>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pageSetUpPr fitToPage="1"/>
  </sheetPr>
  <dimension ref="A1:AZ46"/>
  <sheetViews>
    <sheetView tabSelected="1" zoomScale="80" zoomScaleNormal="80" workbookViewId="0"/>
  </sheetViews>
  <sheetFormatPr baseColWidth="10"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4"/>
    </row>
    <row r="2" spans="1:50" ht="4.5" customHeight="1" thickTop="1" thickBot="1">
      <c r="A2" s="20"/>
      <c r="B2" s="511" t="s">
        <v>3122</v>
      </c>
      <c r="C2" s="511"/>
      <c r="D2" s="511"/>
      <c r="E2" s="511"/>
      <c r="F2" s="511"/>
      <c r="G2" s="511"/>
      <c r="H2" s="511"/>
      <c r="I2" s="511"/>
      <c r="J2" s="511"/>
      <c r="K2" s="511"/>
      <c r="L2" s="511"/>
      <c r="M2" s="511"/>
      <c r="N2" s="511"/>
      <c r="O2" s="511"/>
      <c r="P2" s="511"/>
      <c r="Q2" s="511"/>
      <c r="S2" s="167"/>
      <c r="T2" s="168"/>
      <c r="U2" s="176"/>
      <c r="V2" s="176"/>
      <c r="W2" s="176"/>
      <c r="X2" s="176"/>
      <c r="Y2" s="176"/>
      <c r="Z2" s="176"/>
      <c r="AA2" s="176"/>
      <c r="AB2" s="176"/>
      <c r="AC2" s="176"/>
      <c r="AD2" s="177"/>
    </row>
    <row r="3" spans="1:50" ht="28.5" customHeight="1" thickBot="1">
      <c r="A3" s="21"/>
      <c r="B3" s="511"/>
      <c r="C3" s="511"/>
      <c r="D3" s="511"/>
      <c r="E3" s="511"/>
      <c r="F3" s="511"/>
      <c r="G3" s="511"/>
      <c r="H3" s="511"/>
      <c r="I3" s="511"/>
      <c r="J3" s="511"/>
      <c r="K3" s="511"/>
      <c r="L3" s="511"/>
      <c r="M3" s="511"/>
      <c r="N3" s="511"/>
      <c r="O3" s="511"/>
      <c r="P3" s="511"/>
      <c r="Q3" s="511"/>
      <c r="R3" s="21"/>
      <c r="S3" s="169"/>
      <c r="T3" s="170"/>
      <c r="U3" s="502" t="str">
        <f>'Used Language'!C5</f>
        <v>Getting Started</v>
      </c>
      <c r="V3" s="503"/>
      <c r="W3" s="503"/>
      <c r="X3" s="503"/>
      <c r="Y3" s="503"/>
      <c r="Z3" s="503"/>
      <c r="AA3" s="503"/>
      <c r="AB3" s="503"/>
      <c r="AC3" s="504"/>
      <c r="AD3" s="178"/>
      <c r="AE3" s="22"/>
      <c r="AF3" s="21"/>
      <c r="AG3" s="21"/>
      <c r="AH3" s="21"/>
      <c r="AI3" s="21"/>
      <c r="AJ3" s="21"/>
      <c r="AM3" s="21"/>
      <c r="AN3" s="21"/>
      <c r="AO3" s="21"/>
      <c r="AP3" s="21"/>
      <c r="AQ3" s="21"/>
      <c r="AT3" s="21"/>
      <c r="AU3" s="21"/>
      <c r="AV3" s="21"/>
      <c r="AW3" s="21"/>
      <c r="AX3" s="21"/>
    </row>
    <row r="4" spans="1:50" ht="4.5" customHeight="1" thickBot="1">
      <c r="A4" s="21"/>
      <c r="B4" s="511"/>
      <c r="C4" s="511"/>
      <c r="D4" s="511"/>
      <c r="E4" s="511"/>
      <c r="F4" s="511"/>
      <c r="G4" s="511"/>
      <c r="H4" s="511"/>
      <c r="I4" s="511"/>
      <c r="J4" s="511"/>
      <c r="K4" s="511"/>
      <c r="L4" s="511"/>
      <c r="M4" s="511"/>
      <c r="N4" s="511"/>
      <c r="O4" s="511"/>
      <c r="P4" s="511"/>
      <c r="Q4" s="511"/>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1"/>
      <c r="C5" s="511"/>
      <c r="D5" s="511"/>
      <c r="E5" s="511"/>
      <c r="F5" s="511"/>
      <c r="G5" s="511"/>
      <c r="H5" s="511"/>
      <c r="I5" s="511"/>
      <c r="J5" s="511"/>
      <c r="K5" s="511"/>
      <c r="L5" s="511"/>
      <c r="M5" s="511"/>
      <c r="N5" s="511"/>
      <c r="O5" s="511"/>
      <c r="P5" s="511"/>
      <c r="Q5" s="511"/>
      <c r="R5" s="21"/>
      <c r="S5" s="169"/>
      <c r="T5" s="170"/>
      <c r="U5" s="502" t="str">
        <f>'Used Language'!C15</f>
        <v>Change Language</v>
      </c>
      <c r="V5" s="503"/>
      <c r="W5" s="503"/>
      <c r="X5" s="503"/>
      <c r="Y5" s="503"/>
      <c r="Z5" s="503"/>
      <c r="AA5" s="503"/>
      <c r="AB5" s="503"/>
      <c r="AC5" s="504"/>
      <c r="AD5" s="178"/>
      <c r="AE5" s="22"/>
      <c r="AF5" s="21"/>
      <c r="AG5" s="21"/>
      <c r="AH5" s="21"/>
      <c r="AI5" s="21"/>
      <c r="AJ5" s="21"/>
      <c r="AM5" s="21"/>
      <c r="AN5" s="21"/>
      <c r="AO5" s="21"/>
      <c r="AP5" s="21"/>
      <c r="AQ5" s="21"/>
      <c r="AT5" s="21"/>
      <c r="AU5" s="21"/>
      <c r="AV5" s="21"/>
      <c r="AW5" s="21"/>
      <c r="AX5" s="21"/>
    </row>
    <row r="6" spans="1:50" ht="4.5" customHeight="1" thickBot="1">
      <c r="A6" s="21"/>
      <c r="B6" s="511"/>
      <c r="C6" s="511"/>
      <c r="D6" s="511"/>
      <c r="E6" s="511"/>
      <c r="F6" s="511"/>
      <c r="G6" s="511"/>
      <c r="H6" s="511"/>
      <c r="I6" s="511"/>
      <c r="J6" s="511"/>
      <c r="K6" s="511"/>
      <c r="L6" s="511"/>
      <c r="M6" s="511"/>
      <c r="N6" s="511"/>
      <c r="O6" s="511"/>
      <c r="P6" s="511"/>
      <c r="Q6" s="511"/>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499" t="s">
        <v>3276</v>
      </c>
      <c r="C7" s="500"/>
      <c r="D7" s="500"/>
      <c r="E7" s="500"/>
      <c r="F7" s="500"/>
      <c r="G7" s="500"/>
      <c r="H7" s="500"/>
      <c r="I7" s="500"/>
      <c r="J7" s="500"/>
      <c r="K7" s="500"/>
      <c r="L7" s="500"/>
      <c r="M7" s="500"/>
      <c r="N7" s="500"/>
      <c r="O7" s="500"/>
      <c r="P7" s="500"/>
      <c r="Q7" s="500"/>
      <c r="R7" s="21"/>
      <c r="S7" s="510" t="str">
        <f>'Used Language'!C114</f>
        <v>Data Entry</v>
      </c>
      <c r="T7" s="171" t="s">
        <v>1408</v>
      </c>
      <c r="U7" s="505" t="str">
        <f>'Used Language'!C10</f>
        <v>System Input Volume</v>
      </c>
      <c r="V7" s="506"/>
      <c r="W7" s="506"/>
      <c r="X7" s="506"/>
      <c r="Y7" s="506"/>
      <c r="Z7" s="506"/>
      <c r="AA7" s="506"/>
      <c r="AB7" s="506"/>
      <c r="AC7" s="507"/>
      <c r="AD7" s="179"/>
      <c r="AE7" s="23"/>
      <c r="AF7" s="21"/>
      <c r="AG7" s="21"/>
      <c r="AH7" s="21"/>
      <c r="AI7" s="21"/>
      <c r="AJ7" s="21"/>
      <c r="AM7" s="21"/>
      <c r="AN7" s="21"/>
      <c r="AO7" s="21"/>
      <c r="AP7" s="21"/>
      <c r="AQ7" s="21"/>
      <c r="AT7" s="21"/>
      <c r="AU7" s="21"/>
      <c r="AV7" s="21"/>
      <c r="AW7" s="21"/>
      <c r="AX7" s="21"/>
    </row>
    <row r="8" spans="1:50" ht="4.5" customHeight="1" thickBot="1">
      <c r="A8" s="21"/>
      <c r="B8" s="500"/>
      <c r="C8" s="500"/>
      <c r="D8" s="500"/>
      <c r="E8" s="500"/>
      <c r="F8" s="500"/>
      <c r="G8" s="500"/>
      <c r="H8" s="500"/>
      <c r="I8" s="500"/>
      <c r="J8" s="500"/>
      <c r="K8" s="500"/>
      <c r="L8" s="500"/>
      <c r="M8" s="500"/>
      <c r="N8" s="500"/>
      <c r="O8" s="500"/>
      <c r="P8" s="500"/>
      <c r="Q8" s="500"/>
      <c r="R8" s="21"/>
      <c r="S8" s="510"/>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00"/>
      <c r="C9" s="500"/>
      <c r="D9" s="500"/>
      <c r="E9" s="500"/>
      <c r="F9" s="500"/>
      <c r="G9" s="500"/>
      <c r="H9" s="500"/>
      <c r="I9" s="500"/>
      <c r="J9" s="500"/>
      <c r="K9" s="500"/>
      <c r="L9" s="500"/>
      <c r="M9" s="500"/>
      <c r="N9" s="500"/>
      <c r="O9" s="500"/>
      <c r="P9" s="500"/>
      <c r="Q9" s="500"/>
      <c r="R9" s="21"/>
      <c r="S9" s="510"/>
      <c r="T9" s="171" t="s">
        <v>1409</v>
      </c>
      <c r="U9" s="505" t="str">
        <f>'Used Language'!C11</f>
        <v>Billed Consumption</v>
      </c>
      <c r="V9" s="506"/>
      <c r="W9" s="506"/>
      <c r="X9" s="506"/>
      <c r="Y9" s="506"/>
      <c r="Z9" s="506"/>
      <c r="AA9" s="506"/>
      <c r="AB9" s="506"/>
      <c r="AC9" s="507"/>
      <c r="AD9" s="179"/>
      <c r="AE9" s="23"/>
      <c r="AF9" s="21"/>
      <c r="AG9" s="21"/>
      <c r="AH9" s="21"/>
      <c r="AI9" s="21"/>
      <c r="AJ9" s="21"/>
      <c r="AM9" s="21"/>
      <c r="AN9" s="21"/>
      <c r="AO9" s="21"/>
      <c r="AP9" s="21"/>
      <c r="AQ9" s="21"/>
      <c r="AT9" s="21"/>
      <c r="AU9" s="21"/>
      <c r="AV9" s="21"/>
      <c r="AW9" s="21"/>
      <c r="AX9" s="21"/>
    </row>
    <row r="10" spans="1:50" ht="4.5" customHeight="1" thickBot="1">
      <c r="A10" s="21"/>
      <c r="B10" s="500"/>
      <c r="C10" s="500"/>
      <c r="D10" s="500"/>
      <c r="E10" s="500"/>
      <c r="F10" s="500"/>
      <c r="G10" s="500"/>
      <c r="H10" s="500"/>
      <c r="I10" s="500"/>
      <c r="J10" s="500"/>
      <c r="K10" s="500"/>
      <c r="L10" s="500"/>
      <c r="M10" s="500"/>
      <c r="N10" s="500"/>
      <c r="O10" s="500"/>
      <c r="P10" s="500"/>
      <c r="Q10" s="500"/>
      <c r="R10" s="21"/>
      <c r="S10" s="510"/>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00"/>
      <c r="C11" s="500"/>
      <c r="D11" s="500"/>
      <c r="E11" s="500"/>
      <c r="F11" s="500"/>
      <c r="G11" s="500"/>
      <c r="H11" s="500"/>
      <c r="I11" s="500"/>
      <c r="J11" s="500"/>
      <c r="K11" s="500"/>
      <c r="L11" s="500"/>
      <c r="M11" s="500"/>
      <c r="N11" s="500"/>
      <c r="O11" s="500"/>
      <c r="P11" s="500"/>
      <c r="Q11" s="500"/>
      <c r="S11" s="510"/>
      <c r="T11" s="171" t="s">
        <v>1410</v>
      </c>
      <c r="U11" s="505" t="str">
        <f>'Used Language'!C12</f>
        <v>Unbilled Consumption</v>
      </c>
      <c r="V11" s="506"/>
      <c r="W11" s="506"/>
      <c r="X11" s="506"/>
      <c r="Y11" s="506"/>
      <c r="Z11" s="506"/>
      <c r="AA11" s="506"/>
      <c r="AB11" s="506"/>
      <c r="AC11" s="507"/>
      <c r="AD11" s="179"/>
      <c r="AE11" s="23"/>
    </row>
    <row r="12" spans="1:50" ht="4.5" customHeight="1" thickBot="1">
      <c r="A12" s="21"/>
      <c r="B12" s="21"/>
      <c r="C12" s="21"/>
      <c r="D12" s="21"/>
      <c r="E12" s="21"/>
      <c r="F12" s="21"/>
      <c r="I12" s="21"/>
      <c r="J12" s="21"/>
      <c r="K12" s="21"/>
      <c r="L12" s="21"/>
      <c r="M12" s="21"/>
      <c r="N12" s="21"/>
      <c r="Q12" s="21"/>
      <c r="S12" s="510"/>
      <c r="T12" s="171"/>
      <c r="U12" s="175"/>
      <c r="V12" s="27"/>
      <c r="W12" s="27"/>
      <c r="X12" s="27"/>
      <c r="Y12" s="27"/>
      <c r="Z12" s="27"/>
      <c r="AA12" s="27"/>
      <c r="AB12" s="27"/>
      <c r="AC12" s="27"/>
      <c r="AD12" s="179"/>
      <c r="AE12" s="23"/>
    </row>
    <row r="13" spans="1:50" ht="25.5" customHeight="1" thickBot="1">
      <c r="R13" s="21"/>
      <c r="S13" s="510"/>
      <c r="T13" s="171" t="s">
        <v>1411</v>
      </c>
      <c r="U13" s="505" t="str">
        <f>'Used Language'!C13</f>
        <v>Unauthorized Consumption</v>
      </c>
      <c r="V13" s="506"/>
      <c r="W13" s="506"/>
      <c r="X13" s="506"/>
      <c r="Y13" s="506"/>
      <c r="Z13" s="506"/>
      <c r="AA13" s="506"/>
      <c r="AB13" s="506"/>
      <c r="AC13" s="507"/>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10"/>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10"/>
      <c r="T15" s="171" t="s">
        <v>1412</v>
      </c>
      <c r="U15" s="505" t="str">
        <f>'Used Language'!C14</f>
        <v>Customer Meter Inaccuracies and Data Handling Errors</v>
      </c>
      <c r="V15" s="506"/>
      <c r="W15" s="506"/>
      <c r="X15" s="506"/>
      <c r="Y15" s="506"/>
      <c r="Z15" s="506"/>
      <c r="AA15" s="506"/>
      <c r="AB15" s="506"/>
      <c r="AC15" s="507"/>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10"/>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09" t="str">
        <f>'Used Language'!C118</f>
        <v>Utility Name:</v>
      </c>
      <c r="C17" s="509"/>
      <c r="D17" s="509"/>
      <c r="E17" s="509"/>
      <c r="F17" s="509"/>
      <c r="G17" s="509"/>
      <c r="H17" s="527"/>
      <c r="I17" s="527"/>
      <c r="J17" s="527"/>
      <c r="K17" s="527"/>
      <c r="L17" s="527"/>
      <c r="M17" s="527"/>
      <c r="N17" s="509" t="str">
        <f>'Used Language'!C119</f>
        <v>Year:</v>
      </c>
      <c r="O17" s="509"/>
      <c r="P17" s="508"/>
      <c r="Q17" s="508"/>
      <c r="R17" s="21"/>
      <c r="S17" s="510"/>
      <c r="T17" s="171" t="s">
        <v>1413</v>
      </c>
      <c r="U17" s="505" t="str">
        <f>'Used Language'!C8</f>
        <v>Network Data</v>
      </c>
      <c r="V17" s="506"/>
      <c r="W17" s="506"/>
      <c r="X17" s="506"/>
      <c r="Y17" s="506"/>
      <c r="Z17" s="506"/>
      <c r="AA17" s="506"/>
      <c r="AB17" s="506"/>
      <c r="AC17" s="507"/>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10"/>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10"/>
      <c r="T19" s="171" t="s">
        <v>1414</v>
      </c>
      <c r="U19" s="505" t="str">
        <f>'Used Language'!C9</f>
        <v>Pressure</v>
      </c>
      <c r="V19" s="506"/>
      <c r="W19" s="506"/>
      <c r="X19" s="506"/>
      <c r="Y19" s="506"/>
      <c r="Z19" s="506"/>
      <c r="AA19" s="506"/>
      <c r="AB19" s="506"/>
      <c r="AC19" s="507"/>
      <c r="AD19" s="179"/>
      <c r="AE19" s="23"/>
    </row>
    <row r="20" spans="1:52" ht="4.5" customHeight="1" thickBot="1">
      <c r="A20" s="21"/>
      <c r="S20" s="510"/>
      <c r="T20" s="171"/>
      <c r="U20" s="175"/>
      <c r="V20" s="27"/>
      <c r="W20" s="27"/>
      <c r="X20" s="27"/>
      <c r="Y20" s="27"/>
      <c r="Z20" s="27"/>
      <c r="AA20" s="27"/>
      <c r="AB20" s="27"/>
      <c r="AC20" s="27"/>
      <c r="AD20" s="179"/>
      <c r="AE20" s="23"/>
    </row>
    <row r="21" spans="1:52" ht="25.5" customHeight="1" thickBot="1">
      <c r="A21" s="21"/>
      <c r="B21" s="518" t="str">
        <f>'Used Language'!C149</f>
        <v>The volumes used for this water balance are for a period of:</v>
      </c>
      <c r="C21" s="519"/>
      <c r="D21" s="519"/>
      <c r="E21" s="519"/>
      <c r="F21" s="519"/>
      <c r="G21" s="519"/>
      <c r="H21" s="519"/>
      <c r="I21" s="519"/>
      <c r="J21" s="519"/>
      <c r="K21" s="519"/>
      <c r="L21" s="520"/>
      <c r="M21" s="512">
        <v>365</v>
      </c>
      <c r="N21" s="513"/>
      <c r="O21" s="528" t="str">
        <f>'Used Language'!C150</f>
        <v>days</v>
      </c>
      <c r="P21" s="529"/>
      <c r="Q21" s="530"/>
      <c r="R21" s="21"/>
      <c r="S21" s="510"/>
      <c r="T21" s="171" t="s">
        <v>1415</v>
      </c>
      <c r="U21" s="505" t="str">
        <f>'Used Language'!C71</f>
        <v>Intermittent Supply</v>
      </c>
      <c r="V21" s="506"/>
      <c r="W21" s="506"/>
      <c r="X21" s="506"/>
      <c r="Y21" s="506"/>
      <c r="Z21" s="506"/>
      <c r="AA21" s="506"/>
      <c r="AB21" s="506"/>
      <c r="AC21" s="507"/>
      <c r="AD21" s="179"/>
      <c r="AE21" s="23"/>
      <c r="AF21" s="21"/>
      <c r="AG21" s="21"/>
      <c r="AH21" s="21"/>
      <c r="AI21" s="21"/>
      <c r="AJ21" s="21"/>
      <c r="AM21" s="21"/>
      <c r="AN21" s="21"/>
      <c r="AO21" s="21"/>
      <c r="AP21" s="21"/>
      <c r="AQ21" s="21"/>
      <c r="AT21" s="21"/>
      <c r="AU21" s="21"/>
      <c r="AV21" s="21"/>
      <c r="AW21" s="21"/>
      <c r="AX21" s="21"/>
    </row>
    <row r="22" spans="1:52" ht="4.5" customHeight="1" thickBot="1">
      <c r="B22" s="521"/>
      <c r="C22" s="522"/>
      <c r="D22" s="522"/>
      <c r="E22" s="522"/>
      <c r="F22" s="522"/>
      <c r="G22" s="522"/>
      <c r="H22" s="522"/>
      <c r="I22" s="522"/>
      <c r="J22" s="522"/>
      <c r="K22" s="522"/>
      <c r="L22" s="523"/>
      <c r="M22" s="514"/>
      <c r="N22" s="515"/>
      <c r="O22" s="531"/>
      <c r="P22" s="532"/>
      <c r="Q22" s="533"/>
      <c r="R22" s="21"/>
      <c r="S22" s="510"/>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1"/>
      <c r="C23" s="522"/>
      <c r="D23" s="522"/>
      <c r="E23" s="522"/>
      <c r="F23" s="522"/>
      <c r="G23" s="522"/>
      <c r="H23" s="522"/>
      <c r="I23" s="522"/>
      <c r="J23" s="522"/>
      <c r="K23" s="522"/>
      <c r="L23" s="523"/>
      <c r="M23" s="514"/>
      <c r="N23" s="515"/>
      <c r="O23" s="531"/>
      <c r="P23" s="532"/>
      <c r="Q23" s="533"/>
      <c r="R23" s="21"/>
      <c r="S23" s="510"/>
      <c r="T23" s="171" t="s">
        <v>1416</v>
      </c>
      <c r="U23" s="505" t="str">
        <f>'Used Language'!C80</f>
        <v>Financial Information</v>
      </c>
      <c r="V23" s="506"/>
      <c r="W23" s="506"/>
      <c r="X23" s="506"/>
      <c r="Y23" s="506"/>
      <c r="Z23" s="506"/>
      <c r="AA23" s="506"/>
      <c r="AB23" s="506"/>
      <c r="AC23" s="507"/>
      <c r="AD23" s="179"/>
      <c r="AE23" s="23"/>
      <c r="AF23" s="21"/>
      <c r="AG23" s="21"/>
      <c r="AH23" s="21"/>
      <c r="AI23" s="21"/>
      <c r="AJ23" s="21"/>
      <c r="AM23" s="21"/>
      <c r="AN23" s="21"/>
      <c r="AO23" s="21"/>
      <c r="AP23" s="21"/>
      <c r="AQ23" s="21"/>
      <c r="AT23" s="21"/>
      <c r="AU23" s="21"/>
      <c r="AV23" s="21"/>
      <c r="AW23" s="21"/>
      <c r="AX23" s="21"/>
    </row>
    <row r="24" spans="1:52" ht="4.5" customHeight="1" thickBot="1">
      <c r="B24" s="524"/>
      <c r="C24" s="525"/>
      <c r="D24" s="525"/>
      <c r="E24" s="525"/>
      <c r="F24" s="525"/>
      <c r="G24" s="525"/>
      <c r="H24" s="525"/>
      <c r="I24" s="525"/>
      <c r="J24" s="525"/>
      <c r="K24" s="525"/>
      <c r="L24" s="526"/>
      <c r="M24" s="516"/>
      <c r="N24" s="517"/>
      <c r="O24" s="534"/>
      <c r="P24" s="535"/>
      <c r="Q24" s="536"/>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37"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10"/>
      <c r="T26" s="171" t="s">
        <v>1621</v>
      </c>
      <c r="U26" s="505" t="str">
        <f>'Used Language'!C152</f>
        <v>Water Balance in m3/year</v>
      </c>
      <c r="V26" s="506"/>
      <c r="W26" s="506"/>
      <c r="X26" s="506"/>
      <c r="Y26" s="506"/>
      <c r="Z26" s="506"/>
      <c r="AA26" s="506"/>
      <c r="AB26" s="506"/>
      <c r="AC26" s="507"/>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10"/>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10"/>
      <c r="T28" s="171" t="s">
        <v>1625</v>
      </c>
      <c r="U28" s="505" t="str">
        <f>'Used Language'!C153</f>
        <v>Water Balance in m3/day</v>
      </c>
      <c r="V28" s="506"/>
      <c r="W28" s="506"/>
      <c r="X28" s="506"/>
      <c r="Y28" s="506"/>
      <c r="Z28" s="506"/>
      <c r="AA28" s="506"/>
      <c r="AB28" s="506"/>
      <c r="AC28" s="507"/>
      <c r="AD28" s="179"/>
      <c r="AE28" s="23"/>
    </row>
    <row r="29" spans="1:52" ht="4.5" customHeight="1" thickBot="1">
      <c r="B29" s="21"/>
      <c r="C29" s="21"/>
      <c r="D29" s="21"/>
      <c r="E29" s="21"/>
      <c r="F29" s="21"/>
      <c r="I29" s="21"/>
      <c r="J29" s="21"/>
      <c r="K29" s="21"/>
      <c r="L29" s="21"/>
      <c r="M29" s="21"/>
      <c r="N29" s="21"/>
      <c r="O29" s="22"/>
      <c r="Q29" s="21"/>
      <c r="S29" s="510"/>
      <c r="T29" s="171"/>
      <c r="U29" s="175"/>
      <c r="V29" s="27"/>
      <c r="W29" s="27"/>
      <c r="X29" s="27"/>
      <c r="Y29" s="27"/>
      <c r="Z29" s="27"/>
      <c r="AA29" s="27"/>
      <c r="AB29" s="27"/>
      <c r="AC29" s="27"/>
      <c r="AD29" s="179"/>
      <c r="AE29" s="23"/>
    </row>
    <row r="30" spans="1:52" ht="25.5" customHeight="1" thickBot="1">
      <c r="B30" s="501" t="s">
        <v>3174</v>
      </c>
      <c r="C30" s="501"/>
      <c r="D30" s="501"/>
      <c r="E30" s="501"/>
      <c r="F30" s="501"/>
      <c r="G30" s="501"/>
      <c r="H30" s="501"/>
      <c r="I30" s="501"/>
      <c r="J30" s="501"/>
      <c r="K30" s="501"/>
      <c r="L30" s="501"/>
      <c r="M30" s="501"/>
      <c r="N30" s="501"/>
      <c r="O30" s="501"/>
      <c r="P30" s="501"/>
      <c r="Q30" s="501"/>
      <c r="R30" s="21"/>
      <c r="S30" s="510"/>
      <c r="T30" s="171" t="s">
        <v>1630</v>
      </c>
      <c r="U30" s="505" t="str">
        <f>'Used Language'!C156</f>
        <v>Water Balance for Period</v>
      </c>
      <c r="V30" s="506"/>
      <c r="W30" s="506"/>
      <c r="X30" s="506"/>
      <c r="Y30" s="506"/>
      <c r="Z30" s="506"/>
      <c r="AA30" s="506"/>
      <c r="AB30" s="506"/>
      <c r="AC30" s="507"/>
      <c r="AD30" s="179"/>
      <c r="AE30" s="24"/>
      <c r="AF30" s="21"/>
      <c r="AG30" s="21"/>
      <c r="AH30" s="21"/>
      <c r="AI30" s="21"/>
      <c r="AL30" s="21"/>
      <c r="AM30" s="21"/>
      <c r="AN30" s="21"/>
      <c r="AO30" s="21"/>
      <c r="AP30" s="21"/>
      <c r="AS30" s="21"/>
      <c r="AT30" s="21"/>
      <c r="AU30" s="21"/>
      <c r="AV30" s="21"/>
      <c r="AW30" s="21"/>
      <c r="AZ30" s="21"/>
    </row>
    <row r="31" spans="1:52" ht="4.5" customHeight="1" thickBot="1">
      <c r="B31" s="501"/>
      <c r="C31" s="501"/>
      <c r="D31" s="501"/>
      <c r="E31" s="501"/>
      <c r="F31" s="501"/>
      <c r="G31" s="501"/>
      <c r="H31" s="501"/>
      <c r="I31" s="501"/>
      <c r="J31" s="501"/>
      <c r="K31" s="501"/>
      <c r="L31" s="501"/>
      <c r="M31" s="501"/>
      <c r="N31" s="501"/>
      <c r="O31" s="501"/>
      <c r="P31" s="501"/>
      <c r="Q31" s="501"/>
      <c r="R31" s="21"/>
      <c r="S31" s="510"/>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01"/>
      <c r="C32" s="501"/>
      <c r="D32" s="501"/>
      <c r="E32" s="501"/>
      <c r="F32" s="501"/>
      <c r="G32" s="501"/>
      <c r="H32" s="501"/>
      <c r="I32" s="501"/>
      <c r="J32" s="501"/>
      <c r="K32" s="501"/>
      <c r="L32" s="501"/>
      <c r="M32" s="501"/>
      <c r="N32" s="501"/>
      <c r="O32" s="501"/>
      <c r="P32" s="501"/>
      <c r="Q32" s="501"/>
      <c r="R32" s="21"/>
      <c r="S32" s="510"/>
      <c r="T32" s="171" t="s">
        <v>1634</v>
      </c>
      <c r="U32" s="505" t="str">
        <f>'Used Language'!C7</f>
        <v>Performance Indicators</v>
      </c>
      <c r="V32" s="506"/>
      <c r="W32" s="506"/>
      <c r="X32" s="506"/>
      <c r="Y32" s="506"/>
      <c r="Z32" s="506"/>
      <c r="AA32" s="506"/>
      <c r="AB32" s="506"/>
      <c r="AC32" s="507"/>
      <c r="AD32" s="179"/>
      <c r="AE32" s="23"/>
      <c r="AF32" s="21"/>
      <c r="AG32" s="21"/>
      <c r="AH32" s="21"/>
      <c r="AI32" s="21"/>
      <c r="AJ32" s="21"/>
      <c r="AM32" s="21"/>
      <c r="AN32" s="21"/>
      <c r="AO32" s="21"/>
      <c r="AP32" s="21"/>
      <c r="AQ32" s="21"/>
      <c r="AT32" s="21"/>
      <c r="AU32" s="21"/>
      <c r="AV32" s="21"/>
      <c r="AW32" s="21"/>
      <c r="AX32" s="21"/>
    </row>
    <row r="33" spans="1:50" ht="4.5" customHeight="1" thickBot="1">
      <c r="A33" s="21"/>
      <c r="B33" s="501"/>
      <c r="C33" s="501"/>
      <c r="D33" s="501"/>
      <c r="E33" s="501"/>
      <c r="F33" s="501"/>
      <c r="G33" s="501"/>
      <c r="H33" s="501"/>
      <c r="I33" s="501"/>
      <c r="J33" s="501"/>
      <c r="K33" s="501"/>
      <c r="L33" s="501"/>
      <c r="M33" s="501"/>
      <c r="N33" s="501"/>
      <c r="O33" s="501"/>
      <c r="P33" s="501"/>
      <c r="Q33" s="501"/>
      <c r="R33" s="21"/>
      <c r="S33" s="510"/>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01"/>
      <c r="C34" s="501"/>
      <c r="D34" s="501"/>
      <c r="E34" s="501"/>
      <c r="F34" s="501"/>
      <c r="G34" s="501"/>
      <c r="H34" s="501"/>
      <c r="I34" s="501"/>
      <c r="J34" s="501"/>
      <c r="K34" s="501"/>
      <c r="L34" s="501"/>
      <c r="M34" s="501"/>
      <c r="N34" s="501"/>
      <c r="O34" s="501"/>
      <c r="P34" s="501"/>
      <c r="Q34" s="501"/>
      <c r="R34" s="21"/>
      <c r="S34" s="510"/>
      <c r="T34" s="174" t="s">
        <v>1344</v>
      </c>
      <c r="U34" s="505" t="str">
        <f>'Used Language'!$C$159</f>
        <v>THE "WHAT IF" TOOL</v>
      </c>
      <c r="V34" s="506"/>
      <c r="W34" s="506"/>
      <c r="X34" s="506"/>
      <c r="Y34" s="506"/>
      <c r="Z34" s="506"/>
      <c r="AA34" s="506"/>
      <c r="AB34" s="506"/>
      <c r="AC34" s="507"/>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10"/>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493" t="s">
        <v>3176</v>
      </c>
      <c r="C36" s="494"/>
      <c r="D36" s="494"/>
      <c r="E36" s="494"/>
      <c r="F36" s="494"/>
      <c r="G36" s="491" t="s">
        <v>3175</v>
      </c>
      <c r="H36" s="491"/>
      <c r="I36" s="491"/>
      <c r="J36" s="491"/>
      <c r="K36" s="491"/>
      <c r="L36" s="491"/>
      <c r="M36" s="491"/>
      <c r="N36" s="491"/>
      <c r="O36" s="491"/>
      <c r="P36" s="491"/>
      <c r="Q36" s="497"/>
      <c r="R36" s="21"/>
      <c r="S36" s="510"/>
      <c r="T36" s="174" t="s">
        <v>787</v>
      </c>
      <c r="U36" s="505" t="str">
        <f>'Used Language'!C199</f>
        <v>Historic data</v>
      </c>
      <c r="V36" s="506"/>
      <c r="W36" s="506"/>
      <c r="X36" s="506"/>
      <c r="Y36" s="506"/>
      <c r="Z36" s="506"/>
      <c r="AA36" s="506"/>
      <c r="AB36" s="506"/>
      <c r="AC36" s="507"/>
      <c r="AD36" s="179"/>
      <c r="AE36" s="23"/>
      <c r="AF36" s="21"/>
      <c r="AG36" s="21"/>
      <c r="AH36" s="21"/>
      <c r="AI36" s="21"/>
      <c r="AJ36" s="21"/>
      <c r="AM36" s="21"/>
      <c r="AN36" s="21"/>
      <c r="AO36" s="21"/>
      <c r="AP36" s="21"/>
      <c r="AQ36" s="21"/>
      <c r="AT36" s="21"/>
      <c r="AU36" s="21"/>
      <c r="AV36" s="21"/>
      <c r="AW36" s="21"/>
      <c r="AX36" s="21"/>
    </row>
    <row r="37" spans="1:50" ht="4.5" customHeight="1" thickBot="1">
      <c r="A37" s="21"/>
      <c r="B37" s="495"/>
      <c r="C37" s="496"/>
      <c r="D37" s="496"/>
      <c r="E37" s="496"/>
      <c r="F37" s="496"/>
      <c r="G37" s="492"/>
      <c r="H37" s="492"/>
      <c r="I37" s="492"/>
      <c r="J37" s="492"/>
      <c r="K37" s="492"/>
      <c r="L37" s="492"/>
      <c r="M37" s="492"/>
      <c r="N37" s="492"/>
      <c r="O37" s="492"/>
      <c r="P37" s="492"/>
      <c r="Q37" s="498"/>
      <c r="S37" s="538"/>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WI/Pn0yTz3P6VMcACOYIbZS9+/vsP7UV/9Ab3WX9BmKV2h0ZRBZaZSKd7xkZIZb8B2BL4T5haacpmi9wsEvZ5w==" saltValue="nIg8LnSeH8La3Iyj7W+S2w==" spinCount="100000" sheet="1" objects="1" scenarios="1"/>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hyperlink ref="U11" location="Network!A1" display="Network Data"/>
    <hyperlink ref="U17" location="'Billed Cons'!A1" display="Billed Consumption"/>
    <hyperlink ref="U19" location="'Unb. Cons.'!A1" display="Unbilled Consumption"/>
    <hyperlink ref="U26" location="'Unauth. Cons.'!A1" display="Unauthorized Consumption"/>
    <hyperlink ref="U28" location="'Meter Errors'!A1" display="Meter Underregistration and Data Handlig Errors"/>
    <hyperlink ref="U34" location="Language!A1" display="Change Language"/>
    <hyperlink ref="U15" location="'Sys. Input + Financial Data'!A1" display="System Input Volume and Finacial Data"/>
    <hyperlink ref="U13" location="'Pressure &amp; Suppl. Time'!A1" display="Pressure and Supply Time"/>
    <hyperlink ref="U28:AB28" location="'Water Balance m3day'!Druckbereich" display="'Water Balance m3day'!Druckbereich"/>
    <hyperlink ref="U7" location="'Sys. Input + Financial Data'!A1" display="System Input Volume and Finacial Data"/>
    <hyperlink ref="U9" location="'Billed Cons'!A1" display="Billed Consumption"/>
    <hyperlink ref="U11:AB11" location="'Unb. Cons.'!A1" display="'Unb. Cons.'!A1"/>
    <hyperlink ref="U13:AB13" location="'Unauth. Cons.'!A1" display="'Unauth. Cons.'!A1"/>
    <hyperlink ref="U15:AB15" location="'Meter Errors'!A1" display="'Meter Errors'!A1"/>
    <hyperlink ref="U17:AB17" location="Network!A1" display="Network!A1"/>
    <hyperlink ref="U26:AB26" location="'Water Balance m3year'!Druckbereich" display="'Water Balance m3year'!Druckbereich"/>
    <hyperlink ref="U5" location="'Meter Errors'!A1" display="Meter Underregistration and Data Handlig Errors"/>
    <hyperlink ref="U19:AB19" location="Pressure!A1" display="Pressure!A1"/>
    <hyperlink ref="U5:AB5" location="'Language 1'!A1" display="'Language 1'!A1"/>
    <hyperlink ref="U34:AB34" location="Charts!A1" display="Charts!A1"/>
    <hyperlink ref="U7:AB7" location="'Sys. Input'!A1" display="'Sys. Input'!A1"/>
    <hyperlink ref="U23:AB23" location="'Financial Data'!A1" display="'Financial Data'!A1"/>
    <hyperlink ref="U21:AB21" location="'Intermittent Supply'!A1" display="'Intermittent Supply'!A1"/>
    <hyperlink ref="U32" location="'Meter Errors'!A1" display="Meter Underregistration and Data Handlig Errors"/>
    <hyperlink ref="U32:AB32" location="PIs!A1" display="='Used Language'!C7"/>
    <hyperlink ref="U30" location="'Unauth. Cons.'!A1" display="Unauthorized Consumption"/>
    <hyperlink ref="U30:AB30" location="'Water Balance m3'!A1" display="'Water Balance m3'!A1"/>
    <hyperlink ref="U26:AC26" location="'Water Balance m3year'!A1" display="'Water Balance m3year'!A1"/>
    <hyperlink ref="U28:AC28" location="'Water Balance m3day'!A1" display="'Water Balance m3day'!A1"/>
    <hyperlink ref="U34:AC34" location="'WHAT IF'!A1" display="THE WHAT IF TOOL"/>
    <hyperlink ref="U36:AC36" location="'Historic Data'!A1" display="Historic Data"/>
    <hyperlink ref="G36" r:id="rId1" display="www.liemberger.cc"/>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1:M79"/>
  <sheetViews>
    <sheetView workbookViewId="0">
      <selection activeCell="B4" sqref="B4"/>
    </sheetView>
  </sheetViews>
  <sheetFormatPr baseColWidth="10"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hidden="1" customWidth="1"/>
    <col min="10" max="12" width="11.42578125" style="15" hidden="1" customWidth="1"/>
    <col min="13" max="16384" width="11.42578125" style="14"/>
  </cols>
  <sheetData>
    <row r="1" spans="2:13" ht="5.25" customHeight="1"/>
    <row r="2" spans="2:13" s="16" customFormat="1" ht="22.5" customHeight="1">
      <c r="B2" s="540" t="str">
        <f>'Used Language'!C16</f>
        <v>System Input Volume</v>
      </c>
      <c r="C2" s="541"/>
      <c r="D2" s="541"/>
      <c r="E2" s="541"/>
      <c r="F2" s="542"/>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4" t="str">
        <f>'Used Language'!C128</f>
        <v>Home</v>
      </c>
      <c r="I4" s="545"/>
      <c r="J4" s="545"/>
      <c r="K4" s="545"/>
      <c r="L4" s="545"/>
      <c r="M4" s="546"/>
    </row>
    <row r="5" spans="2:13" ht="6" customHeight="1" thickTop="1">
      <c r="I5" s="14"/>
      <c r="J5" s="14"/>
      <c r="K5" s="14"/>
      <c r="L5" s="14"/>
    </row>
    <row r="6" spans="2:13" s="23" customFormat="1" ht="12.75" customHeight="1">
      <c r="B6" s="440"/>
      <c r="D6" s="441"/>
      <c r="F6" s="442"/>
      <c r="G6" s="37"/>
      <c r="I6" s="45"/>
      <c r="J6" s="45">
        <f t="shared" ref="J6:J37" si="0">D6*F6/1.96</f>
        <v>0</v>
      </c>
      <c r="K6" s="539">
        <f t="shared" ref="K6:K37" si="1">J6*J6</f>
        <v>0</v>
      </c>
      <c r="L6" s="539"/>
      <c r="M6" s="443"/>
    </row>
    <row r="7" spans="2:13" s="23" customFormat="1" ht="12.75" customHeight="1">
      <c r="B7" s="72"/>
      <c r="D7" s="40"/>
      <c r="F7" s="46"/>
      <c r="G7" s="37"/>
      <c r="I7" s="45"/>
      <c r="J7" s="45">
        <f t="shared" si="0"/>
        <v>0</v>
      </c>
      <c r="K7" s="539">
        <f t="shared" si="1"/>
        <v>0</v>
      </c>
      <c r="L7" s="539"/>
      <c r="M7" s="443"/>
    </row>
    <row r="8" spans="2:13" s="23" customFormat="1" ht="12.75" customHeight="1">
      <c r="B8" s="72"/>
      <c r="D8" s="40"/>
      <c r="F8" s="46"/>
      <c r="G8" s="37"/>
      <c r="I8" s="45"/>
      <c r="J8" s="45">
        <f t="shared" si="0"/>
        <v>0</v>
      </c>
      <c r="K8" s="539">
        <f t="shared" si="1"/>
        <v>0</v>
      </c>
      <c r="L8" s="539"/>
      <c r="M8" s="443"/>
    </row>
    <row r="9" spans="2:13" s="23" customFormat="1" ht="12.75" customHeight="1">
      <c r="B9" s="72"/>
      <c r="D9" s="40"/>
      <c r="F9" s="46"/>
      <c r="G9" s="37"/>
      <c r="I9" s="45"/>
      <c r="J9" s="45">
        <f t="shared" si="0"/>
        <v>0</v>
      </c>
      <c r="K9" s="539">
        <f t="shared" si="1"/>
        <v>0</v>
      </c>
      <c r="L9" s="539"/>
      <c r="M9" s="443"/>
    </row>
    <row r="10" spans="2:13" s="23" customFormat="1" ht="12.75" customHeight="1">
      <c r="B10" s="72"/>
      <c r="D10" s="40"/>
      <c r="F10" s="46"/>
      <c r="G10" s="37"/>
      <c r="I10" s="45"/>
      <c r="J10" s="45">
        <f t="shared" si="0"/>
        <v>0</v>
      </c>
      <c r="K10" s="539">
        <f t="shared" si="1"/>
        <v>0</v>
      </c>
      <c r="L10" s="539"/>
      <c r="M10" s="443"/>
    </row>
    <row r="11" spans="2:13" s="23" customFormat="1" ht="12.75" customHeight="1">
      <c r="B11" s="72"/>
      <c r="D11" s="40"/>
      <c r="F11" s="46"/>
      <c r="G11" s="37"/>
      <c r="I11" s="45"/>
      <c r="J11" s="45">
        <f t="shared" si="0"/>
        <v>0</v>
      </c>
      <c r="K11" s="539">
        <f t="shared" si="1"/>
        <v>0</v>
      </c>
      <c r="L11" s="539"/>
      <c r="M11" s="443"/>
    </row>
    <row r="12" spans="2:13" s="23" customFormat="1" ht="12.75" customHeight="1">
      <c r="B12" s="72"/>
      <c r="D12" s="40"/>
      <c r="F12" s="46"/>
      <c r="G12" s="37"/>
      <c r="I12" s="45"/>
      <c r="J12" s="45">
        <f t="shared" si="0"/>
        <v>0</v>
      </c>
      <c r="K12" s="539">
        <f t="shared" si="1"/>
        <v>0</v>
      </c>
      <c r="L12" s="539"/>
      <c r="M12" s="443"/>
    </row>
    <row r="13" spans="2:13" s="23" customFormat="1" ht="12.75" customHeight="1">
      <c r="B13" s="72"/>
      <c r="D13" s="40"/>
      <c r="F13" s="46"/>
      <c r="G13" s="37"/>
      <c r="I13" s="45"/>
      <c r="J13" s="45">
        <f t="shared" si="0"/>
        <v>0</v>
      </c>
      <c r="K13" s="539">
        <f t="shared" si="1"/>
        <v>0</v>
      </c>
      <c r="L13" s="539"/>
      <c r="M13" s="443"/>
    </row>
    <row r="14" spans="2:13" s="23" customFormat="1" ht="12.75" customHeight="1">
      <c r="B14" s="72"/>
      <c r="D14" s="40"/>
      <c r="F14" s="46"/>
      <c r="G14" s="37"/>
      <c r="I14" s="45"/>
      <c r="J14" s="45">
        <f t="shared" si="0"/>
        <v>0</v>
      </c>
      <c r="K14" s="539">
        <f t="shared" si="1"/>
        <v>0</v>
      </c>
      <c r="L14" s="539"/>
      <c r="M14" s="443"/>
    </row>
    <row r="15" spans="2:13" s="23" customFormat="1" ht="12.75" customHeight="1">
      <c r="B15" s="72"/>
      <c r="D15" s="40"/>
      <c r="F15" s="46"/>
      <c r="G15" s="37"/>
      <c r="I15" s="45"/>
      <c r="J15" s="45">
        <f t="shared" si="0"/>
        <v>0</v>
      </c>
      <c r="K15" s="539">
        <f t="shared" si="1"/>
        <v>0</v>
      </c>
      <c r="L15" s="539"/>
      <c r="M15" s="443"/>
    </row>
    <row r="16" spans="2:13" s="23" customFormat="1" ht="12.75" customHeight="1">
      <c r="B16" s="72"/>
      <c r="D16" s="40"/>
      <c r="F16" s="46"/>
      <c r="G16" s="37"/>
      <c r="I16" s="45"/>
      <c r="J16" s="45">
        <f t="shared" si="0"/>
        <v>0</v>
      </c>
      <c r="K16" s="539">
        <f t="shared" si="1"/>
        <v>0</v>
      </c>
      <c r="L16" s="539"/>
      <c r="M16" s="443"/>
    </row>
    <row r="17" spans="2:13" s="23" customFormat="1" ht="12.75" customHeight="1">
      <c r="B17" s="72"/>
      <c r="D17" s="40"/>
      <c r="F17" s="46"/>
      <c r="G17" s="37"/>
      <c r="I17" s="45"/>
      <c r="J17" s="45">
        <f t="shared" si="0"/>
        <v>0</v>
      </c>
      <c r="K17" s="539">
        <f t="shared" si="1"/>
        <v>0</v>
      </c>
      <c r="L17" s="539"/>
      <c r="M17" s="443"/>
    </row>
    <row r="18" spans="2:13" s="23" customFormat="1" ht="12.75" customHeight="1">
      <c r="B18" s="72"/>
      <c r="D18" s="40"/>
      <c r="F18" s="46"/>
      <c r="G18" s="37"/>
      <c r="I18" s="45"/>
      <c r="J18" s="45">
        <f t="shared" si="0"/>
        <v>0</v>
      </c>
      <c r="K18" s="539">
        <f t="shared" si="1"/>
        <v>0</v>
      </c>
      <c r="L18" s="539"/>
      <c r="M18" s="443"/>
    </row>
    <row r="19" spans="2:13" s="23" customFormat="1" ht="12.75" customHeight="1">
      <c r="B19" s="72"/>
      <c r="D19" s="40"/>
      <c r="F19" s="46"/>
      <c r="G19" s="37"/>
      <c r="I19" s="45"/>
      <c r="J19" s="45">
        <f t="shared" si="0"/>
        <v>0</v>
      </c>
      <c r="K19" s="539">
        <f t="shared" si="1"/>
        <v>0</v>
      </c>
      <c r="L19" s="539"/>
      <c r="M19" s="443"/>
    </row>
    <row r="20" spans="2:13" s="23" customFormat="1" ht="12.75" customHeight="1">
      <c r="B20" s="72"/>
      <c r="D20" s="40"/>
      <c r="F20" s="46"/>
      <c r="G20" s="37"/>
      <c r="I20" s="45"/>
      <c r="J20" s="45">
        <f t="shared" si="0"/>
        <v>0</v>
      </c>
      <c r="K20" s="539">
        <f t="shared" si="1"/>
        <v>0</v>
      </c>
      <c r="L20" s="539"/>
      <c r="M20" s="443"/>
    </row>
    <row r="21" spans="2:13" s="23" customFormat="1" ht="12.75" customHeight="1">
      <c r="B21" s="72"/>
      <c r="D21" s="40"/>
      <c r="F21" s="46"/>
      <c r="G21" s="37"/>
      <c r="I21" s="45"/>
      <c r="J21" s="45">
        <f t="shared" si="0"/>
        <v>0</v>
      </c>
      <c r="K21" s="539">
        <f t="shared" si="1"/>
        <v>0</v>
      </c>
      <c r="L21" s="539"/>
      <c r="M21" s="443"/>
    </row>
    <row r="22" spans="2:13" s="23" customFormat="1" ht="12.75" customHeight="1">
      <c r="B22" s="72"/>
      <c r="D22" s="40"/>
      <c r="F22" s="46"/>
      <c r="G22" s="37"/>
      <c r="I22" s="45"/>
      <c r="J22" s="45">
        <f t="shared" si="0"/>
        <v>0</v>
      </c>
      <c r="K22" s="539">
        <f t="shared" si="1"/>
        <v>0</v>
      </c>
      <c r="L22" s="539"/>
      <c r="M22" s="443"/>
    </row>
    <row r="23" spans="2:13" s="23" customFormat="1" ht="12.75" customHeight="1">
      <c r="B23" s="39"/>
      <c r="D23" s="40"/>
      <c r="F23" s="46"/>
      <c r="G23" s="37"/>
      <c r="I23" s="45"/>
      <c r="J23" s="45">
        <f t="shared" si="0"/>
        <v>0</v>
      </c>
      <c r="K23" s="539">
        <f t="shared" si="1"/>
        <v>0</v>
      </c>
      <c r="L23" s="539"/>
      <c r="M23" s="443"/>
    </row>
    <row r="24" spans="2:13" s="23" customFormat="1" ht="12.75" customHeight="1">
      <c r="B24" s="39"/>
      <c r="D24" s="40"/>
      <c r="F24" s="46"/>
      <c r="G24" s="37"/>
      <c r="I24" s="45"/>
      <c r="J24" s="45">
        <f t="shared" si="0"/>
        <v>0</v>
      </c>
      <c r="K24" s="539">
        <f t="shared" si="1"/>
        <v>0</v>
      </c>
      <c r="L24" s="539"/>
      <c r="M24" s="443"/>
    </row>
    <row r="25" spans="2:13" s="23" customFormat="1" ht="12.75" customHeight="1">
      <c r="B25" s="39"/>
      <c r="D25" s="40"/>
      <c r="F25" s="46"/>
      <c r="G25" s="37"/>
      <c r="I25" s="45"/>
      <c r="J25" s="45">
        <f t="shared" si="0"/>
        <v>0</v>
      </c>
      <c r="K25" s="539">
        <f t="shared" si="1"/>
        <v>0</v>
      </c>
      <c r="L25" s="539"/>
      <c r="M25" s="443"/>
    </row>
    <row r="26" spans="2:13" s="23" customFormat="1" ht="12.75" customHeight="1">
      <c r="B26" s="39"/>
      <c r="D26" s="40"/>
      <c r="F26" s="46"/>
      <c r="G26" s="37"/>
      <c r="I26" s="45"/>
      <c r="J26" s="45">
        <f t="shared" si="0"/>
        <v>0</v>
      </c>
      <c r="K26" s="539">
        <f t="shared" si="1"/>
        <v>0</v>
      </c>
      <c r="L26" s="539"/>
      <c r="M26" s="443"/>
    </row>
    <row r="27" spans="2:13" s="23" customFormat="1" ht="12.75" customHeight="1">
      <c r="B27" s="39"/>
      <c r="D27" s="40"/>
      <c r="F27" s="46"/>
      <c r="G27" s="37"/>
      <c r="I27" s="45"/>
      <c r="J27" s="45">
        <f t="shared" si="0"/>
        <v>0</v>
      </c>
      <c r="K27" s="539">
        <f t="shared" si="1"/>
        <v>0</v>
      </c>
      <c r="L27" s="539"/>
      <c r="M27" s="443"/>
    </row>
    <row r="28" spans="2:13" s="23" customFormat="1" ht="12.75" customHeight="1">
      <c r="B28" s="39"/>
      <c r="D28" s="40"/>
      <c r="F28" s="46"/>
      <c r="G28" s="37"/>
      <c r="I28" s="45"/>
      <c r="J28" s="45">
        <f t="shared" si="0"/>
        <v>0</v>
      </c>
      <c r="K28" s="539">
        <f t="shared" si="1"/>
        <v>0</v>
      </c>
      <c r="L28" s="539"/>
      <c r="M28" s="443"/>
    </row>
    <row r="29" spans="2:13" s="23" customFormat="1" ht="12.75" customHeight="1">
      <c r="B29" s="39"/>
      <c r="D29" s="40"/>
      <c r="F29" s="46"/>
      <c r="G29" s="37"/>
      <c r="I29" s="45"/>
      <c r="J29" s="45">
        <f t="shared" si="0"/>
        <v>0</v>
      </c>
      <c r="K29" s="539">
        <f t="shared" si="1"/>
        <v>0</v>
      </c>
      <c r="L29" s="539"/>
      <c r="M29" s="443"/>
    </row>
    <row r="30" spans="2:13" s="23" customFormat="1" ht="12.75" customHeight="1">
      <c r="B30" s="39"/>
      <c r="D30" s="40"/>
      <c r="F30" s="46"/>
      <c r="G30" s="37"/>
      <c r="I30" s="45"/>
      <c r="J30" s="45">
        <f t="shared" si="0"/>
        <v>0</v>
      </c>
      <c r="K30" s="539">
        <f t="shared" si="1"/>
        <v>0</v>
      </c>
      <c r="L30" s="539"/>
      <c r="M30" s="443"/>
    </row>
    <row r="31" spans="2:13" s="23" customFormat="1" ht="12.75" customHeight="1">
      <c r="B31" s="39"/>
      <c r="D31" s="40"/>
      <c r="F31" s="46"/>
      <c r="G31" s="37"/>
      <c r="I31" s="45"/>
      <c r="J31" s="45">
        <f t="shared" si="0"/>
        <v>0</v>
      </c>
      <c r="K31" s="539">
        <f t="shared" si="1"/>
        <v>0</v>
      </c>
      <c r="L31" s="539"/>
      <c r="M31" s="443"/>
    </row>
    <row r="32" spans="2:13" s="23" customFormat="1" ht="12.75" customHeight="1">
      <c r="B32" s="39"/>
      <c r="D32" s="40"/>
      <c r="F32" s="46"/>
      <c r="G32" s="37"/>
      <c r="I32" s="45"/>
      <c r="J32" s="45">
        <f t="shared" si="0"/>
        <v>0</v>
      </c>
      <c r="K32" s="539">
        <f t="shared" si="1"/>
        <v>0</v>
      </c>
      <c r="L32" s="539"/>
      <c r="M32" s="443"/>
    </row>
    <row r="33" spans="2:13" s="23" customFormat="1" ht="12.75" customHeight="1">
      <c r="B33" s="39"/>
      <c r="D33" s="40"/>
      <c r="F33" s="46"/>
      <c r="G33" s="37"/>
      <c r="I33" s="45"/>
      <c r="J33" s="45">
        <f t="shared" si="0"/>
        <v>0</v>
      </c>
      <c r="K33" s="539">
        <f t="shared" si="1"/>
        <v>0</v>
      </c>
      <c r="L33" s="539"/>
      <c r="M33" s="443"/>
    </row>
    <row r="34" spans="2:13" s="23" customFormat="1">
      <c r="B34" s="39"/>
      <c r="D34" s="40"/>
      <c r="F34" s="46"/>
      <c r="G34" s="37"/>
      <c r="I34" s="45"/>
      <c r="J34" s="45">
        <f t="shared" si="0"/>
        <v>0</v>
      </c>
      <c r="K34" s="539">
        <f t="shared" si="1"/>
        <v>0</v>
      </c>
      <c r="L34" s="539"/>
      <c r="M34" s="443"/>
    </row>
    <row r="35" spans="2:13" s="23" customFormat="1">
      <c r="B35" s="39"/>
      <c r="D35" s="40"/>
      <c r="F35" s="46"/>
      <c r="G35" s="37"/>
      <c r="I35" s="45"/>
      <c r="J35" s="45">
        <f t="shared" si="0"/>
        <v>0</v>
      </c>
      <c r="K35" s="539">
        <f t="shared" si="1"/>
        <v>0</v>
      </c>
      <c r="L35" s="539"/>
      <c r="M35" s="443"/>
    </row>
    <row r="36" spans="2:13" s="23" customFormat="1">
      <c r="B36" s="39"/>
      <c r="D36" s="40"/>
      <c r="F36" s="46"/>
      <c r="G36" s="37"/>
      <c r="I36" s="45"/>
      <c r="J36" s="45">
        <f t="shared" si="0"/>
        <v>0</v>
      </c>
      <c r="K36" s="539">
        <f t="shared" si="1"/>
        <v>0</v>
      </c>
      <c r="L36" s="539"/>
      <c r="M36" s="443"/>
    </row>
    <row r="37" spans="2:13" s="23" customFormat="1">
      <c r="B37" s="39"/>
      <c r="D37" s="40"/>
      <c r="F37" s="46"/>
      <c r="G37" s="37"/>
      <c r="I37" s="45"/>
      <c r="J37" s="45">
        <f t="shared" si="0"/>
        <v>0</v>
      </c>
      <c r="K37" s="539">
        <f t="shared" si="1"/>
        <v>0</v>
      </c>
      <c r="L37" s="539"/>
      <c r="M37" s="443"/>
    </row>
    <row r="38" spans="2:13" s="23" customFormat="1">
      <c r="B38" s="39"/>
      <c r="D38" s="40"/>
      <c r="F38" s="46"/>
      <c r="G38" s="37"/>
      <c r="I38" s="45"/>
      <c r="J38" s="45">
        <f t="shared" ref="J38:J70" si="2">D38*F38/1.96</f>
        <v>0</v>
      </c>
      <c r="K38" s="539">
        <f t="shared" ref="K38:K69" si="3">J38*J38</f>
        <v>0</v>
      </c>
      <c r="L38" s="539"/>
      <c r="M38" s="443"/>
    </row>
    <row r="39" spans="2:13" s="23" customFormat="1">
      <c r="B39" s="39"/>
      <c r="D39" s="40"/>
      <c r="F39" s="46"/>
      <c r="G39" s="37"/>
      <c r="I39" s="45"/>
      <c r="J39" s="45">
        <f t="shared" si="2"/>
        <v>0</v>
      </c>
      <c r="K39" s="539">
        <f t="shared" si="3"/>
        <v>0</v>
      </c>
      <c r="L39" s="539"/>
      <c r="M39" s="443"/>
    </row>
    <row r="40" spans="2:13" s="23" customFormat="1">
      <c r="B40" s="39"/>
      <c r="D40" s="40"/>
      <c r="F40" s="46"/>
      <c r="G40" s="37"/>
      <c r="I40" s="45"/>
      <c r="J40" s="45">
        <f t="shared" si="2"/>
        <v>0</v>
      </c>
      <c r="K40" s="539">
        <f t="shared" si="3"/>
        <v>0</v>
      </c>
      <c r="L40" s="539"/>
      <c r="M40" s="443"/>
    </row>
    <row r="41" spans="2:13" s="23" customFormat="1">
      <c r="B41" s="39"/>
      <c r="D41" s="40"/>
      <c r="F41" s="46"/>
      <c r="G41" s="37"/>
      <c r="I41" s="45"/>
      <c r="J41" s="45">
        <f t="shared" si="2"/>
        <v>0</v>
      </c>
      <c r="K41" s="539">
        <f t="shared" si="3"/>
        <v>0</v>
      </c>
      <c r="L41" s="539"/>
      <c r="M41" s="443"/>
    </row>
    <row r="42" spans="2:13" s="23" customFormat="1">
      <c r="B42" s="39"/>
      <c r="D42" s="40"/>
      <c r="F42" s="46"/>
      <c r="G42" s="37"/>
      <c r="I42" s="45"/>
      <c r="J42" s="45">
        <f t="shared" si="2"/>
        <v>0</v>
      </c>
      <c r="K42" s="539">
        <f t="shared" si="3"/>
        <v>0</v>
      </c>
      <c r="L42" s="539"/>
      <c r="M42" s="443"/>
    </row>
    <row r="43" spans="2:13" s="23" customFormat="1">
      <c r="B43" s="39"/>
      <c r="D43" s="40"/>
      <c r="F43" s="46"/>
      <c r="G43" s="37"/>
      <c r="I43" s="45"/>
      <c r="J43" s="45">
        <f t="shared" si="2"/>
        <v>0</v>
      </c>
      <c r="K43" s="539">
        <f t="shared" si="3"/>
        <v>0</v>
      </c>
      <c r="L43" s="539"/>
      <c r="M43" s="443"/>
    </row>
    <row r="44" spans="2:13" s="23" customFormat="1">
      <c r="B44" s="39"/>
      <c r="D44" s="40"/>
      <c r="F44" s="46"/>
      <c r="G44" s="37"/>
      <c r="I44" s="45"/>
      <c r="J44" s="45">
        <f t="shared" si="2"/>
        <v>0</v>
      </c>
      <c r="K44" s="539">
        <f t="shared" si="3"/>
        <v>0</v>
      </c>
      <c r="L44" s="539"/>
      <c r="M44" s="443"/>
    </row>
    <row r="45" spans="2:13" s="23" customFormat="1">
      <c r="B45" s="39"/>
      <c r="D45" s="40"/>
      <c r="F45" s="46"/>
      <c r="G45" s="37"/>
      <c r="I45" s="45"/>
      <c r="J45" s="45">
        <f t="shared" si="2"/>
        <v>0</v>
      </c>
      <c r="K45" s="539">
        <f t="shared" si="3"/>
        <v>0</v>
      </c>
      <c r="L45" s="539"/>
      <c r="M45" s="443"/>
    </row>
    <row r="46" spans="2:13" s="23" customFormat="1">
      <c r="B46" s="39"/>
      <c r="D46" s="40"/>
      <c r="F46" s="46"/>
      <c r="G46" s="37"/>
      <c r="I46" s="45"/>
      <c r="J46" s="45">
        <f t="shared" si="2"/>
        <v>0</v>
      </c>
      <c r="K46" s="539">
        <f t="shared" si="3"/>
        <v>0</v>
      </c>
      <c r="L46" s="539"/>
      <c r="M46" s="443"/>
    </row>
    <row r="47" spans="2:13" s="23" customFormat="1">
      <c r="B47" s="39"/>
      <c r="D47" s="40"/>
      <c r="F47" s="46"/>
      <c r="G47" s="37"/>
      <c r="I47" s="45"/>
      <c r="J47" s="45">
        <f t="shared" si="2"/>
        <v>0</v>
      </c>
      <c r="K47" s="539">
        <f t="shared" si="3"/>
        <v>0</v>
      </c>
      <c r="L47" s="539"/>
      <c r="M47" s="443"/>
    </row>
    <row r="48" spans="2:13" s="23" customFormat="1">
      <c r="B48" s="39"/>
      <c r="D48" s="40"/>
      <c r="F48" s="46"/>
      <c r="G48" s="37"/>
      <c r="I48" s="45"/>
      <c r="J48" s="45">
        <f t="shared" si="2"/>
        <v>0</v>
      </c>
      <c r="K48" s="539">
        <f t="shared" si="3"/>
        <v>0</v>
      </c>
      <c r="L48" s="539"/>
      <c r="M48" s="443"/>
    </row>
    <row r="49" spans="2:13" s="23" customFormat="1">
      <c r="B49" s="39"/>
      <c r="D49" s="40"/>
      <c r="F49" s="46"/>
      <c r="G49" s="37"/>
      <c r="I49" s="45"/>
      <c r="J49" s="45">
        <f t="shared" si="2"/>
        <v>0</v>
      </c>
      <c r="K49" s="539">
        <f t="shared" si="3"/>
        <v>0</v>
      </c>
      <c r="L49" s="539"/>
      <c r="M49" s="443"/>
    </row>
    <row r="50" spans="2:13" s="23" customFormat="1">
      <c r="B50" s="39"/>
      <c r="D50" s="40"/>
      <c r="F50" s="46"/>
      <c r="G50" s="37"/>
      <c r="I50" s="45"/>
      <c r="J50" s="45">
        <f t="shared" si="2"/>
        <v>0</v>
      </c>
      <c r="K50" s="539">
        <f t="shared" si="3"/>
        <v>0</v>
      </c>
      <c r="L50" s="539"/>
      <c r="M50" s="443"/>
    </row>
    <row r="51" spans="2:13" s="23" customFormat="1">
      <c r="B51" s="72"/>
      <c r="D51" s="40"/>
      <c r="F51" s="46"/>
      <c r="G51" s="37"/>
      <c r="I51" s="45"/>
      <c r="J51" s="45">
        <f t="shared" si="2"/>
        <v>0</v>
      </c>
      <c r="K51" s="539">
        <f t="shared" si="3"/>
        <v>0</v>
      </c>
      <c r="L51" s="539"/>
      <c r="M51" s="443"/>
    </row>
    <row r="52" spans="2:13" s="23" customFormat="1">
      <c r="B52" s="72"/>
      <c r="D52" s="40"/>
      <c r="F52" s="46"/>
      <c r="G52" s="37"/>
      <c r="I52" s="45"/>
      <c r="J52" s="45">
        <f t="shared" si="2"/>
        <v>0</v>
      </c>
      <c r="K52" s="539">
        <f t="shared" si="3"/>
        <v>0</v>
      </c>
      <c r="L52" s="539"/>
      <c r="M52" s="443"/>
    </row>
    <row r="53" spans="2:13" s="23" customFormat="1">
      <c r="B53" s="72"/>
      <c r="D53" s="40"/>
      <c r="F53" s="46"/>
      <c r="G53" s="37"/>
      <c r="I53" s="45"/>
      <c r="J53" s="45">
        <f t="shared" si="2"/>
        <v>0</v>
      </c>
      <c r="K53" s="539">
        <f t="shared" si="3"/>
        <v>0</v>
      </c>
      <c r="L53" s="539"/>
      <c r="M53" s="443"/>
    </row>
    <row r="54" spans="2:13" s="23" customFormat="1">
      <c r="B54" s="72"/>
      <c r="D54" s="40"/>
      <c r="F54" s="46"/>
      <c r="G54" s="37"/>
      <c r="I54" s="45"/>
      <c r="J54" s="45">
        <f t="shared" si="2"/>
        <v>0</v>
      </c>
      <c r="K54" s="539">
        <f t="shared" si="3"/>
        <v>0</v>
      </c>
      <c r="L54" s="539"/>
      <c r="M54" s="443"/>
    </row>
    <row r="55" spans="2:13" s="23" customFormat="1">
      <c r="B55" s="72"/>
      <c r="D55" s="40"/>
      <c r="F55" s="46"/>
      <c r="G55" s="37"/>
      <c r="I55" s="45"/>
      <c r="J55" s="45">
        <f t="shared" si="2"/>
        <v>0</v>
      </c>
      <c r="K55" s="539">
        <f t="shared" si="3"/>
        <v>0</v>
      </c>
      <c r="L55" s="539"/>
      <c r="M55" s="443"/>
    </row>
    <row r="56" spans="2:13" s="23" customFormat="1" ht="12.75" customHeight="1">
      <c r="B56" s="39"/>
      <c r="D56" s="40"/>
      <c r="F56" s="46"/>
      <c r="G56" s="37"/>
      <c r="I56" s="45"/>
      <c r="J56" s="45">
        <f t="shared" si="2"/>
        <v>0</v>
      </c>
      <c r="K56" s="539">
        <f t="shared" si="3"/>
        <v>0</v>
      </c>
      <c r="L56" s="539"/>
      <c r="M56" s="443"/>
    </row>
    <row r="57" spans="2:13" s="23" customFormat="1">
      <c r="B57" s="39"/>
      <c r="D57" s="40"/>
      <c r="F57" s="46"/>
      <c r="G57" s="37"/>
      <c r="I57" s="45"/>
      <c r="J57" s="45">
        <f t="shared" si="2"/>
        <v>0</v>
      </c>
      <c r="K57" s="539">
        <f t="shared" si="3"/>
        <v>0</v>
      </c>
      <c r="L57" s="539"/>
      <c r="M57" s="443"/>
    </row>
    <row r="58" spans="2:13" s="23" customFormat="1">
      <c r="B58" s="39"/>
      <c r="D58" s="40"/>
      <c r="F58" s="46"/>
      <c r="G58" s="37"/>
      <c r="I58" s="45"/>
      <c r="J58" s="45">
        <f t="shared" si="2"/>
        <v>0</v>
      </c>
      <c r="K58" s="539">
        <f t="shared" si="3"/>
        <v>0</v>
      </c>
      <c r="L58" s="539"/>
      <c r="M58" s="443"/>
    </row>
    <row r="59" spans="2:13" s="23" customFormat="1">
      <c r="B59" s="39"/>
      <c r="D59" s="40"/>
      <c r="F59" s="46"/>
      <c r="G59" s="37"/>
      <c r="I59" s="45"/>
      <c r="J59" s="45">
        <f t="shared" si="2"/>
        <v>0</v>
      </c>
      <c r="K59" s="539">
        <f t="shared" si="3"/>
        <v>0</v>
      </c>
      <c r="L59" s="539"/>
      <c r="M59" s="443"/>
    </row>
    <row r="60" spans="2:13" s="23" customFormat="1" ht="12.75" customHeight="1">
      <c r="B60" s="39"/>
      <c r="D60" s="40"/>
      <c r="F60" s="46"/>
      <c r="G60" s="37"/>
      <c r="I60" s="45"/>
      <c r="J60" s="45">
        <f t="shared" si="2"/>
        <v>0</v>
      </c>
      <c r="K60" s="539">
        <f t="shared" si="3"/>
        <v>0</v>
      </c>
      <c r="L60" s="539"/>
      <c r="M60" s="443"/>
    </row>
    <row r="61" spans="2:13" s="23" customFormat="1" ht="12.75" customHeight="1">
      <c r="B61" s="39"/>
      <c r="D61" s="40"/>
      <c r="F61" s="46"/>
      <c r="G61" s="37"/>
      <c r="I61" s="45"/>
      <c r="J61" s="45">
        <f t="shared" si="2"/>
        <v>0</v>
      </c>
      <c r="K61" s="539">
        <f t="shared" si="3"/>
        <v>0</v>
      </c>
      <c r="L61" s="539"/>
      <c r="M61" s="443"/>
    </row>
    <row r="62" spans="2:13" s="23" customFormat="1" ht="12.75" customHeight="1">
      <c r="B62" s="39"/>
      <c r="D62" s="40"/>
      <c r="F62" s="46"/>
      <c r="G62" s="37"/>
      <c r="I62" s="45"/>
      <c r="J62" s="45">
        <f t="shared" si="2"/>
        <v>0</v>
      </c>
      <c r="K62" s="539">
        <f t="shared" si="3"/>
        <v>0</v>
      </c>
      <c r="L62" s="539"/>
      <c r="M62" s="443"/>
    </row>
    <row r="63" spans="2:13" s="23" customFormat="1">
      <c r="B63" s="39"/>
      <c r="D63" s="40"/>
      <c r="F63" s="46"/>
      <c r="G63" s="37"/>
      <c r="I63" s="45"/>
      <c r="J63" s="45">
        <f t="shared" si="2"/>
        <v>0</v>
      </c>
      <c r="K63" s="539">
        <f t="shared" si="3"/>
        <v>0</v>
      </c>
      <c r="L63" s="539"/>
      <c r="M63" s="443"/>
    </row>
    <row r="64" spans="2:13" s="23" customFormat="1">
      <c r="B64" s="39"/>
      <c r="D64" s="40"/>
      <c r="F64" s="46"/>
      <c r="G64" s="37"/>
      <c r="I64" s="45"/>
      <c r="J64" s="45">
        <f t="shared" si="2"/>
        <v>0</v>
      </c>
      <c r="K64" s="539">
        <f t="shared" si="3"/>
        <v>0</v>
      </c>
      <c r="L64" s="539"/>
      <c r="M64" s="443"/>
    </row>
    <row r="65" spans="2:13" s="23" customFormat="1">
      <c r="B65" s="39"/>
      <c r="D65" s="40"/>
      <c r="F65" s="46"/>
      <c r="G65" s="37"/>
      <c r="I65" s="45"/>
      <c r="J65" s="45">
        <f t="shared" si="2"/>
        <v>0</v>
      </c>
      <c r="K65" s="539">
        <f t="shared" si="3"/>
        <v>0</v>
      </c>
      <c r="L65" s="539"/>
      <c r="M65" s="443"/>
    </row>
    <row r="66" spans="2:13" s="23" customFormat="1">
      <c r="B66" s="39"/>
      <c r="D66" s="40"/>
      <c r="F66" s="46"/>
      <c r="G66" s="37"/>
      <c r="I66" s="45"/>
      <c r="J66" s="45">
        <f t="shared" si="2"/>
        <v>0</v>
      </c>
      <c r="K66" s="539">
        <f t="shared" si="3"/>
        <v>0</v>
      </c>
      <c r="L66" s="539"/>
      <c r="M66" s="443"/>
    </row>
    <row r="67" spans="2:13" s="23" customFormat="1" ht="12.75" customHeight="1">
      <c r="B67" s="39"/>
      <c r="D67" s="40"/>
      <c r="F67" s="46"/>
      <c r="G67" s="37"/>
      <c r="I67" s="45"/>
      <c r="J67" s="45">
        <f t="shared" si="2"/>
        <v>0</v>
      </c>
      <c r="K67" s="539">
        <f t="shared" si="3"/>
        <v>0</v>
      </c>
      <c r="L67" s="539"/>
      <c r="M67" s="443"/>
    </row>
    <row r="68" spans="2:13" s="23" customFormat="1">
      <c r="B68" s="39"/>
      <c r="D68" s="40"/>
      <c r="F68" s="46"/>
      <c r="G68" s="37"/>
      <c r="I68" s="45"/>
      <c r="J68" s="45">
        <f t="shared" si="2"/>
        <v>0</v>
      </c>
      <c r="K68" s="539">
        <f t="shared" si="3"/>
        <v>0</v>
      </c>
      <c r="L68" s="539"/>
      <c r="M68" s="443"/>
    </row>
    <row r="69" spans="2:13" s="23" customFormat="1">
      <c r="B69" s="39"/>
      <c r="D69" s="40"/>
      <c r="F69" s="46"/>
      <c r="G69" s="37"/>
      <c r="I69" s="45"/>
      <c r="J69" s="45">
        <f t="shared" si="2"/>
        <v>0</v>
      </c>
      <c r="K69" s="539">
        <f t="shared" si="3"/>
        <v>0</v>
      </c>
      <c r="L69" s="539"/>
      <c r="M69" s="443"/>
    </row>
    <row r="70" spans="2:13" s="23" customFormat="1">
      <c r="B70" s="41"/>
      <c r="D70" s="42"/>
      <c r="F70" s="47"/>
      <c r="G70" s="37"/>
      <c r="I70" s="45"/>
      <c r="J70" s="45">
        <f t="shared" si="2"/>
        <v>0</v>
      </c>
      <c r="K70" s="539">
        <f t="shared" ref="K70" si="4">J70*J70</f>
        <v>0</v>
      </c>
      <c r="L70" s="539"/>
      <c r="M70" s="443"/>
    </row>
    <row r="71" spans="2:13" ht="6" customHeight="1">
      <c r="G71" s="18"/>
      <c r="M71" s="19"/>
    </row>
    <row r="72" spans="2:13" ht="15" customHeight="1">
      <c r="B72" s="23" t="str">
        <f>'Used Language'!$C$30</f>
        <v>Error Margin [+/-]:</v>
      </c>
      <c r="F72" s="48">
        <f>IF(D79=0,0,J72*1.96/D79)</f>
        <v>0</v>
      </c>
      <c r="G72" s="18"/>
      <c r="J72" s="15">
        <f>SQRT(K72)</f>
        <v>0</v>
      </c>
      <c r="K72" s="543">
        <f>SUM(K6:K70)</f>
        <v>0</v>
      </c>
      <c r="L72" s="543"/>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0</v>
      </c>
      <c r="G75" s="18"/>
      <c r="M75" s="19"/>
    </row>
    <row r="76" spans="2:13" ht="6" customHeight="1">
      <c r="D76" s="43"/>
      <c r="M76" s="19"/>
    </row>
    <row r="77" spans="2:13">
      <c r="B77" s="23" t="str">
        <f>'Used Language'!$C$63</f>
        <v>Maximum</v>
      </c>
      <c r="D77" s="73">
        <f>IF(D$79=0, 0,D$79*(1+F$72))</f>
        <v>0</v>
      </c>
      <c r="M77" s="19"/>
    </row>
    <row r="78" spans="2:13" ht="6" customHeight="1">
      <c r="D78" s="43"/>
      <c r="H78" s="19"/>
    </row>
    <row r="79" spans="2:13">
      <c r="B79" s="31" t="str">
        <f>'Used Language'!$C$64</f>
        <v>Best Estimate</v>
      </c>
      <c r="D79" s="44">
        <f>SUM(D6:D70)</f>
        <v>0</v>
      </c>
      <c r="H79" s="19"/>
    </row>
  </sheetData>
  <sheetProtection algorithmName="SHA-512" hashValue="MrJWebcFAvCSWkbPuLUKJOwD/zIGOSJAMCT3eBPLsNYgWV3kBTaUO+lqpHPNSNFk6LMFGrCGoS1J7zq9o1ceGQ==" saltValue="0CTI3iO+6RaJW8y6CqNCGA==" spinCount="100000" sheet="1" objects="1" scenarios="1"/>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1:Q28"/>
  <sheetViews>
    <sheetView zoomScale="80" zoomScaleNormal="80" workbookViewId="0">
      <selection activeCell="A8" sqref="A8:XFD25"/>
    </sheetView>
  </sheetViews>
  <sheetFormatPr baseColWidth="10"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0" t="str">
        <f>'Used Language'!C23</f>
        <v>Billed Metered Consumption</v>
      </c>
      <c r="C2" s="541"/>
      <c r="D2" s="542"/>
      <c r="F2" s="540" t="str">
        <f>'Used Language'!C24</f>
        <v>Billed Unmetered Consumption</v>
      </c>
      <c r="G2" s="541"/>
      <c r="H2" s="542"/>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4" t="str">
        <f>'Used Language'!C128</f>
        <v>Home</v>
      </c>
      <c r="K4" s="545"/>
      <c r="L4" s="546"/>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c r="E6" s="51"/>
      <c r="F6" s="71" t="str">
        <f>'Used Language'!$C$104</f>
        <v>Bulk Water Supply (Export)</v>
      </c>
      <c r="G6" s="33"/>
      <c r="H6" s="52"/>
    </row>
    <row r="7" spans="2:17" ht="5.25" customHeight="1">
      <c r="B7" s="33"/>
      <c r="C7" s="33"/>
      <c r="D7" s="33"/>
      <c r="E7" s="51"/>
      <c r="F7" s="51"/>
      <c r="G7" s="51"/>
      <c r="H7" s="51"/>
      <c r="I7" s="70"/>
    </row>
    <row r="8" spans="2:17" s="33" customFormat="1" ht="15">
      <c r="B8" s="440"/>
      <c r="D8" s="44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0</v>
      </c>
      <c r="E28" s="33"/>
      <c r="F28" s="66" t="str">
        <f>'Used Language'!$C$91</f>
        <v>[m3]</v>
      </c>
      <c r="G28" s="33"/>
      <c r="H28" s="67">
        <f>SUM(H6:H25)</f>
        <v>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B1:Q32"/>
  <sheetViews>
    <sheetView zoomScale="90" zoomScaleNormal="90" workbookViewId="0">
      <selection activeCell="J9" sqref="J9"/>
    </sheetView>
  </sheetViews>
  <sheetFormatPr baseColWidth="10"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0" t="str">
        <f>'Used Language'!C25</f>
        <v>Unbilled Metered Consumption</v>
      </c>
      <c r="C2" s="541"/>
      <c r="D2" s="542"/>
      <c r="F2" s="540" t="str">
        <f>'Used Language'!C26</f>
        <v>Unbilled Unmetered Consumption</v>
      </c>
      <c r="G2" s="541"/>
      <c r="H2" s="541"/>
      <c r="I2" s="541"/>
      <c r="J2" s="542"/>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4" t="str">
        <f>'Used Language'!C128</f>
        <v>Home</v>
      </c>
      <c r="M4" s="545"/>
      <c r="N4" s="546"/>
      <c r="O4" s="49"/>
      <c r="P4" s="49"/>
      <c r="Q4" s="49"/>
    </row>
    <row r="5" spans="2:17" ht="6" customHeight="1" thickTop="1">
      <c r="E5" s="51"/>
    </row>
    <row r="6" spans="2:17" ht="15" customHeight="1">
      <c r="B6" s="38" t="str">
        <f>'Used Language'!C90</f>
        <v>Bulk Water Supply (Export)</v>
      </c>
      <c r="D6" s="52"/>
      <c r="E6" s="51"/>
      <c r="F6" s="434"/>
      <c r="H6" s="54"/>
      <c r="J6" s="55"/>
      <c r="K6" s="51"/>
      <c r="N6" s="49"/>
      <c r="O6" s="49">
        <f t="shared" ref="O6:O23" si="0">H6*J6/1.96</f>
        <v>0</v>
      </c>
      <c r="P6" s="49">
        <f t="shared" ref="P6:P23" si="1">O6*O6</f>
        <v>0</v>
      </c>
      <c r="Q6" s="49"/>
    </row>
    <row r="7" spans="2:17">
      <c r="E7" s="51"/>
      <c r="F7" s="43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0</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R37"/>
  <sheetViews>
    <sheetView workbookViewId="0">
      <selection activeCell="D10" sqref="D10"/>
    </sheetView>
  </sheetViews>
  <sheetFormatPr baseColWidth="10"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0" t="str">
        <f>'Used Language'!C13</f>
        <v>Unauthorized Consumption</v>
      </c>
      <c r="C2" s="541"/>
      <c r="D2" s="541"/>
      <c r="E2" s="541"/>
      <c r="F2" s="541"/>
      <c r="G2" s="541"/>
      <c r="H2" s="541"/>
      <c r="I2" s="541"/>
      <c r="J2" s="541"/>
      <c r="K2" s="541"/>
      <c r="L2" s="542"/>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[liters/person/day]</v>
      </c>
      <c r="L4" s="36" t="str">
        <f>'Used Language'!$C$95</f>
        <v>Total
[m3]</v>
      </c>
      <c r="M4" s="88" t="s">
        <v>2337</v>
      </c>
      <c r="N4" s="544" t="str">
        <f>'Used Language'!C128</f>
        <v>Home</v>
      </c>
      <c r="O4" s="545"/>
      <c r="P4" s="545"/>
      <c r="Q4" s="545"/>
      <c r="R4" s="546"/>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c r="E6" s="75"/>
      <c r="F6" s="79"/>
      <c r="H6" s="94"/>
      <c r="I6" s="74"/>
      <c r="J6" s="52"/>
      <c r="L6" s="67">
        <f>D6*H6*J6*Start!M21/1000</f>
        <v>0</v>
      </c>
      <c r="P6" s="49">
        <f>L6*F6/1.96</f>
        <v>0</v>
      </c>
      <c r="Q6" s="49">
        <f>P6*P6</f>
        <v>0</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[liters/connection/day]</v>
      </c>
      <c r="L8" s="76"/>
    </row>
    <row r="9" spans="2:18" ht="6" customHeight="1">
      <c r="D9" s="75"/>
      <c r="E9" s="75"/>
      <c r="F9" s="75"/>
      <c r="I9" s="74"/>
    </row>
    <row r="10" spans="2:18">
      <c r="B10" s="38" t="str">
        <f>'Used Language'!$C$111</f>
        <v>Illegal Connections - others</v>
      </c>
      <c r="C10" s="75"/>
      <c r="D10" s="52"/>
      <c r="E10" s="75"/>
      <c r="F10" s="79"/>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[liters/customer/day]</v>
      </c>
    </row>
    <row r="13" spans="2:18" ht="6" customHeight="1">
      <c r="D13" s="75"/>
      <c r="E13" s="75"/>
      <c r="F13" s="75"/>
      <c r="I13" s="74"/>
    </row>
    <row r="14" spans="2:18" ht="58.5" customHeight="1">
      <c r="B14" s="38" t="str">
        <f>'Used Language'!$C$112</f>
        <v>Meter tampering, bypasses, etc. at registered customers</v>
      </c>
      <c r="C14" s="75"/>
      <c r="D14" s="52"/>
      <c r="E14" s="75"/>
      <c r="F14" s="79"/>
      <c r="J14" s="52"/>
      <c r="L14" s="67">
        <f>D14*J14*Start!M21/1000</f>
        <v>0</v>
      </c>
      <c r="P14" s="49">
        <f>L14*F14/1.96</f>
        <v>0</v>
      </c>
      <c r="Q14" s="49">
        <f>P14*P14</f>
        <v>0</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0</v>
      </c>
      <c r="P24" s="49">
        <f>SQRT(Q24)</f>
        <v>0</v>
      </c>
      <c r="Q24" s="49">
        <f>SUM(Q6:Q23)</f>
        <v>0</v>
      </c>
    </row>
    <row r="25" spans="1:17" ht="5.25" customHeight="1">
      <c r="A25" s="75"/>
      <c r="C25" s="75"/>
      <c r="D25" s="75"/>
      <c r="E25" s="75"/>
      <c r="F25" s="75"/>
    </row>
    <row r="26" spans="1:17" ht="12.75" customHeight="1">
      <c r="A26" s="75"/>
      <c r="B26" s="50" t="str">
        <f>'Used Language'!C98</f>
        <v>Unauthorized Consumption [m3]</v>
      </c>
      <c r="C26" s="75"/>
      <c r="D26" s="75"/>
      <c r="E26" s="75"/>
      <c r="F26" s="75"/>
    </row>
    <row r="27" spans="1:17" ht="15" customHeight="1">
      <c r="A27" s="75"/>
      <c r="B27" s="33" t="str">
        <f>'Used Language'!$C$62</f>
        <v>Minimum</v>
      </c>
      <c r="C27" s="75"/>
      <c r="D27" s="75"/>
      <c r="E27" s="75"/>
      <c r="F27" s="75"/>
      <c r="G27" s="75"/>
      <c r="L27" s="64">
        <f>L31*(1-F24)</f>
        <v>0</v>
      </c>
    </row>
    <row r="28" spans="1:17" ht="5.25" customHeight="1">
      <c r="A28" s="75"/>
      <c r="C28" s="75"/>
      <c r="D28" s="75"/>
      <c r="E28" s="75"/>
      <c r="F28" s="75"/>
    </row>
    <row r="29" spans="1:17" ht="15" customHeight="1">
      <c r="B29" s="33" t="str">
        <f>'Used Language'!$C$63</f>
        <v>Maximum</v>
      </c>
      <c r="L29" s="64">
        <f>L31*(1+F24)</f>
        <v>0</v>
      </c>
    </row>
    <row r="30" spans="1:17" ht="5.25" customHeight="1"/>
    <row r="31" spans="1:17" ht="15" customHeight="1">
      <c r="B31" s="50" t="str">
        <f>'Used Language'!$C$64</f>
        <v>Best Estimate</v>
      </c>
      <c r="L31" s="67">
        <f>SUM(L6:L22)</f>
        <v>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pageSetUpPr fitToPage="1"/>
  </sheetPr>
  <dimension ref="B1:U49"/>
  <sheetViews>
    <sheetView workbookViewId="0">
      <selection activeCell="N8" sqref="N8"/>
    </sheetView>
  </sheetViews>
  <sheetFormatPr baseColWidth="10"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0" t="str">
        <f>'Used Language'!C27</f>
        <v>Customer Meter Inaccuracies and Data Handling Errors</v>
      </c>
      <c r="E2" s="541"/>
      <c r="F2" s="541"/>
      <c r="G2" s="541"/>
      <c r="H2" s="541"/>
      <c r="I2" s="541"/>
      <c r="J2" s="541"/>
      <c r="K2" s="541"/>
      <c r="L2" s="541"/>
      <c r="M2" s="541"/>
      <c r="N2" s="542"/>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4" t="str">
        <f>'Used Language'!C128</f>
        <v>Home</v>
      </c>
      <c r="Q4" s="545"/>
      <c r="R4" s="545"/>
      <c r="S4" s="545"/>
      <c r="T4" s="546"/>
    </row>
    <row r="5" spans="2:21" ht="6" customHeight="1" thickTop="1">
      <c r="D5" s="75"/>
      <c r="E5" s="75"/>
      <c r="F5" s="75"/>
      <c r="G5" s="75"/>
      <c r="H5" s="75"/>
      <c r="I5" s="75"/>
      <c r="J5" s="75"/>
      <c r="L5" s="89"/>
      <c r="M5" s="74"/>
      <c r="O5" s="33"/>
      <c r="P5" s="33"/>
    </row>
    <row r="6" spans="2:21" ht="73.5" customHeight="1">
      <c r="D6" s="549" t="str">
        <f>'Used Language'!C147</f>
        <v>Enter 1 to use an overall % for meter under-registration or 2 for manual entering of volumes and under-registration of different meter or customer types</v>
      </c>
      <c r="E6" s="550"/>
      <c r="F6" s="550"/>
      <c r="G6" s="550"/>
      <c r="H6" s="551"/>
      <c r="I6" s="83"/>
      <c r="J6" s="430">
        <v>2</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c r="I8" s="77"/>
      <c r="J8" s="77"/>
      <c r="L8" s="101">
        <f>F8/(1-H8)-F8</f>
        <v>0</v>
      </c>
      <c r="M8" s="74"/>
      <c r="N8" s="108"/>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32"/>
      <c r="H12" s="431"/>
      <c r="I12" s="75"/>
      <c r="J12" s="75"/>
      <c r="L12" s="102">
        <f t="shared" ref="L12:L28" si="0">IF(J$6=2,F12/(1-H12)-F12,0)</f>
        <v>0</v>
      </c>
      <c r="N12" s="105"/>
      <c r="O12" s="33"/>
      <c r="P12" s="33"/>
      <c r="R12" s="49">
        <f t="shared" ref="R12:R28" si="1">N12*L12/1.96</f>
        <v>0</v>
      </c>
      <c r="S12" s="49">
        <f t="shared" ref="S12:S28" si="2">R12*R12</f>
        <v>0</v>
      </c>
      <c r="T12" s="49"/>
      <c r="U12" s="49"/>
    </row>
    <row r="13" spans="2:21">
      <c r="D13" s="56"/>
      <c r="F13" s="433"/>
      <c r="H13" s="109"/>
      <c r="I13" s="75"/>
      <c r="J13" s="75"/>
      <c r="L13" s="103">
        <f t="shared" si="0"/>
        <v>0</v>
      </c>
      <c r="N13" s="106"/>
      <c r="O13" s="33"/>
      <c r="P13" s="33"/>
      <c r="R13" s="49">
        <f t="shared" si="1"/>
        <v>0</v>
      </c>
      <c r="S13" s="49">
        <f t="shared" si="2"/>
        <v>0</v>
      </c>
      <c r="T13" s="49"/>
      <c r="U13" s="49"/>
    </row>
    <row r="14" spans="2:21">
      <c r="D14" s="56"/>
      <c r="F14" s="377"/>
      <c r="H14" s="109"/>
      <c r="I14" s="75"/>
      <c r="J14" s="75"/>
      <c r="L14" s="103">
        <f t="shared" si="0"/>
        <v>0</v>
      </c>
      <c r="N14" s="106"/>
      <c r="O14" s="33"/>
      <c r="P14" s="33"/>
      <c r="R14" s="49">
        <f t="shared" si="1"/>
        <v>0</v>
      </c>
      <c r="S14" s="49">
        <f t="shared" si="2"/>
        <v>0</v>
      </c>
      <c r="T14" s="49"/>
      <c r="U14" s="49"/>
    </row>
    <row r="15" spans="2:21">
      <c r="D15" s="56"/>
      <c r="F15" s="377"/>
      <c r="H15" s="109"/>
      <c r="I15" s="75"/>
      <c r="J15" s="75"/>
      <c r="L15" s="103">
        <f t="shared" si="0"/>
        <v>0</v>
      </c>
      <c r="N15" s="106"/>
      <c r="O15" s="33"/>
      <c r="P15" s="33"/>
      <c r="R15" s="49">
        <f t="shared" si="1"/>
        <v>0</v>
      </c>
      <c r="S15" s="49">
        <f t="shared" si="2"/>
        <v>0</v>
      </c>
      <c r="T15" s="49"/>
      <c r="U15" s="49"/>
    </row>
    <row r="16" spans="2:21">
      <c r="D16" s="56"/>
      <c r="F16" s="377"/>
      <c r="H16" s="109"/>
      <c r="I16" s="75"/>
      <c r="J16" s="75"/>
      <c r="L16" s="103">
        <f t="shared" si="0"/>
        <v>0</v>
      </c>
      <c r="N16" s="106"/>
      <c r="O16" s="33"/>
      <c r="P16" s="33"/>
      <c r="R16" s="49">
        <f t="shared" si="1"/>
        <v>0</v>
      </c>
      <c r="S16" s="49">
        <f t="shared" si="2"/>
        <v>0</v>
      </c>
      <c r="T16" s="49"/>
      <c r="U16" s="49"/>
    </row>
    <row r="17" spans="4:21">
      <c r="D17" s="56"/>
      <c r="F17" s="377"/>
      <c r="H17" s="109"/>
      <c r="I17" s="75"/>
      <c r="J17" s="75"/>
      <c r="L17" s="103">
        <f t="shared" si="0"/>
        <v>0</v>
      </c>
      <c r="N17" s="106"/>
      <c r="O17" s="33"/>
      <c r="P17" s="33"/>
      <c r="R17" s="49">
        <f t="shared" si="1"/>
        <v>0</v>
      </c>
      <c r="S17" s="49">
        <f t="shared" si="2"/>
        <v>0</v>
      </c>
      <c r="T17" s="49"/>
      <c r="U17" s="49"/>
    </row>
    <row r="18" spans="4:21">
      <c r="D18" s="56"/>
      <c r="F18" s="377"/>
      <c r="H18" s="109"/>
      <c r="I18" s="75"/>
      <c r="J18" s="75"/>
      <c r="L18" s="103">
        <f t="shared" si="0"/>
        <v>0</v>
      </c>
      <c r="N18" s="106"/>
      <c r="O18" s="33"/>
      <c r="P18" s="33"/>
      <c r="R18" s="49">
        <f t="shared" si="1"/>
        <v>0</v>
      </c>
      <c r="S18" s="49">
        <f t="shared" si="2"/>
        <v>0</v>
      </c>
      <c r="T18" s="49"/>
      <c r="U18" s="49"/>
    </row>
    <row r="19" spans="4:21">
      <c r="D19" s="56"/>
      <c r="F19" s="377"/>
      <c r="H19" s="109"/>
      <c r="I19" s="75"/>
      <c r="J19" s="75"/>
      <c r="L19" s="103">
        <f t="shared" si="0"/>
        <v>0</v>
      </c>
      <c r="N19" s="106"/>
      <c r="O19" s="33"/>
      <c r="P19" s="33"/>
      <c r="R19" s="49">
        <f t="shared" si="1"/>
        <v>0</v>
      </c>
      <c r="S19" s="49">
        <f t="shared" si="2"/>
        <v>0</v>
      </c>
      <c r="T19" s="49"/>
      <c r="U19" s="49"/>
    </row>
    <row r="20" spans="4:21">
      <c r="D20" s="56"/>
      <c r="F20" s="377"/>
      <c r="H20" s="109"/>
      <c r="I20" s="75"/>
      <c r="J20" s="75"/>
      <c r="L20" s="103">
        <f t="shared" si="0"/>
        <v>0</v>
      </c>
      <c r="N20" s="106"/>
      <c r="O20" s="33"/>
      <c r="P20" s="33"/>
      <c r="R20" s="49">
        <f t="shared" si="1"/>
        <v>0</v>
      </c>
      <c r="S20" s="49">
        <f t="shared" si="2"/>
        <v>0</v>
      </c>
      <c r="T20" s="49"/>
      <c r="U20" s="49"/>
    </row>
    <row r="21" spans="4:21">
      <c r="D21" s="56"/>
      <c r="F21" s="377"/>
      <c r="H21" s="109"/>
      <c r="I21" s="75"/>
      <c r="J21" s="75"/>
      <c r="L21" s="103">
        <f t="shared" si="0"/>
        <v>0</v>
      </c>
      <c r="N21" s="106"/>
      <c r="O21" s="33"/>
      <c r="P21" s="33"/>
      <c r="R21" s="49">
        <f t="shared" si="1"/>
        <v>0</v>
      </c>
      <c r="S21" s="49">
        <f t="shared" si="2"/>
        <v>0</v>
      </c>
      <c r="T21" s="49"/>
      <c r="U21" s="49"/>
    </row>
    <row r="22" spans="4:21">
      <c r="D22" s="56"/>
      <c r="F22" s="377"/>
      <c r="H22" s="109"/>
      <c r="I22" s="75"/>
      <c r="J22" s="75"/>
      <c r="L22" s="103">
        <f t="shared" si="0"/>
        <v>0</v>
      </c>
      <c r="N22" s="106"/>
      <c r="O22" s="33"/>
      <c r="P22" s="33"/>
      <c r="R22" s="49">
        <f t="shared" si="1"/>
        <v>0</v>
      </c>
      <c r="S22" s="49">
        <f t="shared" si="2"/>
        <v>0</v>
      </c>
      <c r="T22" s="49"/>
      <c r="U22" s="49"/>
    </row>
    <row r="23" spans="4:21">
      <c r="D23" s="56"/>
      <c r="F23" s="377"/>
      <c r="H23" s="109"/>
      <c r="I23" s="75"/>
      <c r="J23" s="75"/>
      <c r="L23" s="103">
        <f t="shared" si="0"/>
        <v>0</v>
      </c>
      <c r="N23" s="106"/>
      <c r="O23" s="33"/>
      <c r="P23" s="33"/>
      <c r="R23" s="49">
        <f t="shared" si="1"/>
        <v>0</v>
      </c>
      <c r="S23" s="49">
        <f t="shared" si="2"/>
        <v>0</v>
      </c>
      <c r="T23" s="49"/>
      <c r="U23" s="49"/>
    </row>
    <row r="24" spans="4:21">
      <c r="D24" s="56"/>
      <c r="F24" s="377"/>
      <c r="H24" s="109"/>
      <c r="I24" s="75"/>
      <c r="J24" s="75"/>
      <c r="L24" s="103">
        <f t="shared" si="0"/>
        <v>0</v>
      </c>
      <c r="N24" s="106"/>
      <c r="O24" s="33"/>
      <c r="P24" s="33"/>
      <c r="R24" s="49">
        <f t="shared" si="1"/>
        <v>0</v>
      </c>
      <c r="S24" s="49">
        <f t="shared" si="2"/>
        <v>0</v>
      </c>
      <c r="T24" s="49"/>
      <c r="U24" s="49"/>
    </row>
    <row r="25" spans="4:21">
      <c r="D25" s="56"/>
      <c r="F25" s="377"/>
      <c r="H25" s="109"/>
      <c r="I25" s="75"/>
      <c r="J25" s="75"/>
      <c r="L25" s="103">
        <f t="shared" si="0"/>
        <v>0</v>
      </c>
      <c r="N25" s="106"/>
      <c r="O25" s="33"/>
      <c r="P25" s="33"/>
      <c r="R25" s="49">
        <f t="shared" si="1"/>
        <v>0</v>
      </c>
      <c r="S25" s="49">
        <f t="shared" si="2"/>
        <v>0</v>
      </c>
      <c r="T25" s="49"/>
      <c r="U25" s="49"/>
    </row>
    <row r="26" spans="4:21">
      <c r="D26" s="56"/>
      <c r="F26" s="377"/>
      <c r="H26" s="109"/>
      <c r="I26" s="75"/>
      <c r="J26" s="75"/>
      <c r="L26" s="103">
        <f t="shared" si="0"/>
        <v>0</v>
      </c>
      <c r="N26" s="106"/>
      <c r="O26" s="33"/>
      <c r="P26" s="33"/>
      <c r="R26" s="49">
        <f t="shared" si="1"/>
        <v>0</v>
      </c>
      <c r="S26" s="49">
        <f t="shared" si="2"/>
        <v>0</v>
      </c>
      <c r="T26" s="49"/>
      <c r="U26" s="49"/>
    </row>
    <row r="27" spans="4:21">
      <c r="D27" s="56"/>
      <c r="F27" s="377"/>
      <c r="H27" s="109"/>
      <c r="I27" s="75"/>
      <c r="J27" s="75"/>
      <c r="L27" s="103">
        <f t="shared" si="0"/>
        <v>0</v>
      </c>
      <c r="N27" s="106"/>
      <c r="O27" s="33"/>
      <c r="P27" s="33"/>
      <c r="R27" s="49">
        <f t="shared" si="1"/>
        <v>0</v>
      </c>
      <c r="S27" s="49">
        <f t="shared" si="2"/>
        <v>0</v>
      </c>
      <c r="T27" s="49"/>
      <c r="U27" s="49"/>
    </row>
    <row r="28" spans="4:21">
      <c r="D28" s="59"/>
      <c r="F28" s="37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0</v>
      </c>
      <c r="G32" s="75"/>
      <c r="H32" s="108"/>
      <c r="I32" s="87"/>
      <c r="J32" s="87"/>
      <c r="L32" s="101">
        <f>F32/(1-H32)-F32</f>
        <v>0</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0</v>
      </c>
      <c r="G38" s="75"/>
      <c r="H38" s="108"/>
      <c r="I38" s="87"/>
      <c r="J38" s="87"/>
      <c r="L38" s="101">
        <f>F38/(1-H38)-F38</f>
        <v>0</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3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7" t="str">
        <f>'Used Language'!C27</f>
        <v>Customer Meter Inaccuracies and Data Handling Errors</v>
      </c>
      <c r="E44" s="548"/>
      <c r="F44" s="548"/>
      <c r="G44" s="548"/>
      <c r="H44" s="548"/>
      <c r="I44" s="93"/>
      <c r="J44" s="93"/>
      <c r="R44" s="49"/>
      <c r="S44" s="49"/>
      <c r="T44" s="49"/>
      <c r="U44" s="49"/>
    </row>
    <row r="45" spans="3:21">
      <c r="D45" s="33" t="str">
        <f>'Used Language'!$C$62</f>
        <v>Minimum</v>
      </c>
      <c r="E45" s="75"/>
      <c r="F45" s="75"/>
      <c r="G45" s="75"/>
      <c r="H45" s="75"/>
      <c r="I45" s="75"/>
      <c r="J45" s="75"/>
      <c r="K45" s="75"/>
      <c r="L45" s="64">
        <f>L49*(1-N42)</f>
        <v>0</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0</v>
      </c>
      <c r="R47" s="49"/>
      <c r="S47" s="49"/>
      <c r="T47" s="49"/>
      <c r="U47" s="49"/>
    </row>
    <row r="48" spans="3:21" ht="6" customHeight="1">
      <c r="R48" s="49"/>
      <c r="S48" s="49"/>
      <c r="T48" s="49"/>
      <c r="U48" s="49"/>
    </row>
    <row r="49" spans="4:12">
      <c r="D49" s="50" t="str">
        <f>'Used Language'!$C$64</f>
        <v>Best Estimate</v>
      </c>
      <c r="L49" s="67">
        <f>IF(J6=2,SUM(L12:L28)+L32+L34+L38+L40,L8+L32+L34+L38+L40)</f>
        <v>0</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B1:O85"/>
  <sheetViews>
    <sheetView topLeftCell="A3" zoomScale="90" zoomScaleNormal="90" workbookViewId="0">
      <selection activeCell="J7" sqref="J7:J8"/>
    </sheetView>
  </sheetViews>
  <sheetFormatPr baseColWidth="10"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0" t="str">
        <f>'Used Language'!C54</f>
        <v>Distribution and Transmission Mains</v>
      </c>
      <c r="C2" s="541"/>
      <c r="D2" s="542"/>
      <c r="E2" s="33"/>
      <c r="F2" s="540" t="str">
        <f>'Used Language'!C55</f>
        <v>Service Connections</v>
      </c>
      <c r="G2" s="541"/>
      <c r="H2" s="541"/>
      <c r="I2" s="541"/>
      <c r="J2" s="542"/>
      <c r="L2" s="576" t="str">
        <f>'Used Language'!C128</f>
        <v>Home</v>
      </c>
      <c r="M2" s="577"/>
      <c r="N2" s="577"/>
      <c r="O2" s="578"/>
    </row>
    <row r="3" spans="2:15" ht="5.25" customHeight="1">
      <c r="L3" s="579"/>
      <c r="M3" s="580"/>
      <c r="N3" s="580"/>
      <c r="O3" s="581"/>
    </row>
    <row r="4" spans="2:15" ht="25.5" customHeight="1">
      <c r="B4" s="552" t="str">
        <f>'Used Language'!$C$56</f>
        <v>Description</v>
      </c>
      <c r="C4" s="31"/>
      <c r="D4" s="552" t="str">
        <f>'Used Language'!C57</f>
        <v>Length
[km]</v>
      </c>
      <c r="E4" s="31"/>
      <c r="F4" s="552" t="str">
        <f>'Used Language'!$C$56</f>
        <v>Description</v>
      </c>
      <c r="G4" s="31"/>
      <c r="H4" s="552" t="str">
        <f>'Used Language'!C58</f>
        <v>Number</v>
      </c>
      <c r="I4" s="31"/>
      <c r="J4" s="552" t="str">
        <f>'Used Language'!C33</f>
        <v>Error Margin
[+/- %]</v>
      </c>
      <c r="K4" s="26"/>
      <c r="L4" s="579"/>
      <c r="M4" s="580"/>
      <c r="N4" s="580"/>
      <c r="O4" s="581"/>
    </row>
    <row r="5" spans="2:15" ht="25.5" customHeight="1" thickBot="1">
      <c r="B5" s="553"/>
      <c r="C5" s="31"/>
      <c r="D5" s="553"/>
      <c r="E5" s="31"/>
      <c r="F5" s="553"/>
      <c r="G5" s="31"/>
      <c r="H5" s="553"/>
      <c r="I5" s="31"/>
      <c r="J5" s="553"/>
      <c r="K5" s="111"/>
      <c r="L5" s="582"/>
      <c r="M5" s="583"/>
      <c r="N5" s="583"/>
      <c r="O5" s="584"/>
    </row>
    <row r="6" spans="2:15" ht="6" customHeight="1" thickTop="1">
      <c r="L6" s="112"/>
      <c r="M6" s="29"/>
    </row>
    <row r="7" spans="2:15" ht="15" customHeight="1">
      <c r="B7" s="440"/>
      <c r="D7" s="444"/>
      <c r="F7" s="552" t="str">
        <f>'Used Language'!C184</f>
        <v>Number of Customers (active)</v>
      </c>
      <c r="H7" s="554"/>
      <c r="J7" s="589"/>
      <c r="M7" s="558">
        <f>H10*J10/1.96</f>
        <v>0</v>
      </c>
      <c r="N7" s="114">
        <f>M7*M7</f>
        <v>0</v>
      </c>
      <c r="O7" s="45"/>
    </row>
    <row r="8" spans="2:15">
      <c r="B8" s="39"/>
      <c r="D8" s="129"/>
      <c r="F8" s="553"/>
      <c r="H8" s="555"/>
      <c r="J8" s="590"/>
      <c r="K8" s="113"/>
      <c r="M8" s="558"/>
      <c r="N8" s="114"/>
      <c r="O8" s="45"/>
    </row>
    <row r="9" spans="2:15">
      <c r="B9" s="39"/>
      <c r="D9" s="129"/>
      <c r="M9" s="558"/>
      <c r="N9" s="114"/>
      <c r="O9" s="45"/>
    </row>
    <row r="10" spans="2:15">
      <c r="B10" s="39"/>
      <c r="D10" s="129"/>
      <c r="F10" s="585" t="str">
        <f>'Used Language'!C65</f>
        <v>Number of Connections of Registered Customers
Note: this figure is most likely (a little bit) less than the number of customers</v>
      </c>
      <c r="H10" s="554"/>
      <c r="J10" s="556"/>
      <c r="K10" s="113"/>
      <c r="M10" s="558"/>
      <c r="N10" s="114"/>
      <c r="O10" s="45"/>
    </row>
    <row r="11" spans="2:15">
      <c r="B11" s="39"/>
      <c r="D11" s="129"/>
      <c r="F11" s="586"/>
      <c r="H11" s="588"/>
      <c r="J11" s="571"/>
      <c r="K11" s="113"/>
      <c r="M11" s="558"/>
      <c r="N11" s="114"/>
      <c r="O11" s="45"/>
    </row>
    <row r="12" spans="2:15">
      <c r="B12" s="39"/>
      <c r="D12" s="129"/>
      <c r="F12" s="586"/>
      <c r="H12" s="588"/>
      <c r="J12" s="571"/>
      <c r="K12" s="113"/>
      <c r="M12" s="558"/>
      <c r="N12" s="114"/>
      <c r="O12" s="45"/>
    </row>
    <row r="13" spans="2:15">
      <c r="B13" s="39"/>
      <c r="D13" s="129"/>
      <c r="F13" s="586"/>
      <c r="H13" s="588"/>
      <c r="J13" s="571"/>
      <c r="K13" s="113"/>
      <c r="M13" s="558"/>
      <c r="N13" s="114"/>
      <c r="O13" s="45"/>
    </row>
    <row r="14" spans="2:15">
      <c r="B14" s="39"/>
      <c r="D14" s="129"/>
      <c r="F14" s="586"/>
      <c r="H14" s="588"/>
      <c r="J14" s="571"/>
      <c r="L14" s="23"/>
      <c r="N14" s="116"/>
      <c r="O14" s="45"/>
    </row>
    <row r="15" spans="2:15">
      <c r="B15" s="39"/>
      <c r="D15" s="129"/>
      <c r="F15" s="586"/>
      <c r="H15" s="588"/>
      <c r="J15" s="571"/>
      <c r="L15" s="23"/>
      <c r="M15" s="558">
        <f>H18*J18/1.96</f>
        <v>0</v>
      </c>
      <c r="N15" s="114">
        <f>M15*M15</f>
        <v>0</v>
      </c>
      <c r="O15" s="45"/>
    </row>
    <row r="16" spans="2:15">
      <c r="B16" s="39"/>
      <c r="D16" s="129"/>
      <c r="F16" s="587"/>
      <c r="H16" s="555"/>
      <c r="J16" s="557"/>
      <c r="K16" s="117"/>
      <c r="M16" s="558"/>
      <c r="N16" s="114"/>
      <c r="O16" s="45"/>
    </row>
    <row r="17" spans="2:15">
      <c r="B17" s="39"/>
      <c r="D17" s="129"/>
      <c r="H17" s="115"/>
      <c r="K17" s="45"/>
      <c r="M17" s="119"/>
      <c r="N17" s="120"/>
      <c r="O17" s="45"/>
    </row>
    <row r="18" spans="2:15">
      <c r="B18" s="39"/>
      <c r="D18" s="129"/>
      <c r="F18" s="552" t="str">
        <f>'Used Language'!C148</f>
        <v>Number of inactive accounts with existing service connection</v>
      </c>
      <c r="H18" s="554"/>
      <c r="J18" s="556"/>
      <c r="K18" s="117"/>
      <c r="M18" s="558">
        <f>H21*J21/1.96</f>
        <v>0</v>
      </c>
      <c r="N18" s="114">
        <f>M18*M18</f>
        <v>0</v>
      </c>
      <c r="O18" s="45"/>
    </row>
    <row r="19" spans="2:15">
      <c r="B19" s="39"/>
      <c r="D19" s="129"/>
      <c r="F19" s="553"/>
      <c r="H19" s="555"/>
      <c r="J19" s="557"/>
      <c r="K19" s="117"/>
      <c r="M19" s="558"/>
      <c r="N19" s="437"/>
      <c r="O19" s="45"/>
    </row>
    <row r="20" spans="2:15">
      <c r="B20" s="39"/>
      <c r="D20" s="129"/>
      <c r="H20" s="118"/>
      <c r="K20" s="45"/>
      <c r="O20" s="45"/>
    </row>
    <row r="21" spans="2:15">
      <c r="B21" s="39"/>
      <c r="D21" s="129"/>
      <c r="F21" s="552" t="str">
        <f>'Used Language'!C66</f>
        <v>Estimated Number of Illegal Connections</v>
      </c>
      <c r="H21" s="572">
        <f>'Unauth. Cons.'!D6+'Unauth. Cons.'!D10</f>
        <v>0</v>
      </c>
      <c r="J21" s="574">
        <f>'Unauth. Cons.'!F6</f>
        <v>0</v>
      </c>
      <c r="K21" s="45"/>
      <c r="O21" s="45"/>
    </row>
    <row r="22" spans="2:15">
      <c r="B22" s="39"/>
      <c r="D22" s="129"/>
      <c r="F22" s="553"/>
      <c r="H22" s="573"/>
      <c r="J22" s="575"/>
      <c r="K22" s="45"/>
      <c r="N22" s="116">
        <f>N7+N18+N15</f>
        <v>0</v>
      </c>
      <c r="O22" s="45"/>
    </row>
    <row r="23" spans="2:15">
      <c r="B23" s="39"/>
      <c r="D23" s="129"/>
      <c r="K23" s="45"/>
      <c r="O23" s="45"/>
    </row>
    <row r="24" spans="2:15" ht="12.75" customHeight="1">
      <c r="B24" s="39"/>
      <c r="D24" s="129"/>
      <c r="F24" s="23" t="str">
        <f>'Used Language'!$C$30</f>
        <v>Error Margin [+/-]:</v>
      </c>
      <c r="J24" s="380">
        <f>IF(H30=0,0,$M$24*1.96/H30)</f>
        <v>0</v>
      </c>
      <c r="K24" s="45"/>
      <c r="M24" s="122">
        <f>SQRT(N22)</f>
        <v>0</v>
      </c>
      <c r="O24" s="45"/>
    </row>
    <row r="25" spans="2:15">
      <c r="B25" s="39"/>
      <c r="D25" s="129"/>
      <c r="F25" s="31" t="str">
        <f>'Used Language'!C67</f>
        <v>Number of Connections</v>
      </c>
      <c r="K25" s="45"/>
      <c r="L25" s="123"/>
      <c r="O25" s="45"/>
    </row>
    <row r="26" spans="2:15">
      <c r="B26" s="41"/>
      <c r="D26" s="130"/>
      <c r="F26" s="23" t="str">
        <f>'Used Language'!$C$62</f>
        <v>Minimum</v>
      </c>
      <c r="H26" s="73">
        <f>IF(H$30=0,0,H$30*(1-$J$24))</f>
        <v>0</v>
      </c>
      <c r="J26" s="37"/>
      <c r="K26" s="45"/>
      <c r="L26" s="45"/>
      <c r="O26" s="45"/>
    </row>
    <row r="27" spans="2:15" ht="6" customHeight="1">
      <c r="D27" s="125"/>
      <c r="F27" s="121"/>
      <c r="H27" s="68"/>
      <c r="J27" s="126" t="s">
        <v>2339</v>
      </c>
      <c r="K27" s="45"/>
      <c r="L27" s="45"/>
      <c r="O27" s="45"/>
    </row>
    <row r="28" spans="2:15" ht="12.75" customHeight="1">
      <c r="B28" s="29" t="str">
        <f>'Used Language'!C59</f>
        <v>Total [km]</v>
      </c>
      <c r="D28" s="128">
        <f>SUM(D6:D26)</f>
        <v>0</v>
      </c>
      <c r="F28" s="23" t="str">
        <f>'Used Language'!$C$63</f>
        <v>Maximum</v>
      </c>
      <c r="H28" s="73">
        <f>IF(H$30=0,0,H$30*(1+$J$24))</f>
        <v>0</v>
      </c>
      <c r="J28" s="126" t="s">
        <v>2340</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0</v>
      </c>
      <c r="K30" s="45"/>
      <c r="L30" s="45"/>
      <c r="O30" s="45"/>
    </row>
    <row r="31" spans="2:15" ht="6" customHeight="1">
      <c r="D31" s="125"/>
      <c r="K31" s="45"/>
      <c r="L31" s="45"/>
      <c r="O31" s="45"/>
    </row>
    <row r="32" spans="2:15">
      <c r="B32" s="31" t="str">
        <f>'Used Language'!C61</f>
        <v>Pipe Length [km]</v>
      </c>
      <c r="D32" s="125"/>
      <c r="F32" s="559" t="str">
        <f>'Used Language'!C68</f>
        <v>Average Length of Service Connection from Property Boundary to Customer Meter [meter]</v>
      </c>
      <c r="H32" s="568"/>
      <c r="I32" s="438"/>
      <c r="J32" s="556"/>
      <c r="K32" s="45"/>
      <c r="L32" s="45"/>
      <c r="O32" s="45"/>
    </row>
    <row r="33" spans="2:15">
      <c r="B33" s="23" t="str">
        <f>'Used Language'!$C$62</f>
        <v>Minimum</v>
      </c>
      <c r="D33" s="128">
        <f>D28</f>
        <v>0</v>
      </c>
      <c r="F33" s="560"/>
      <c r="H33" s="569"/>
      <c r="I33" s="438"/>
      <c r="J33" s="571"/>
      <c r="K33" s="45"/>
      <c r="L33" s="45"/>
      <c r="O33" s="45"/>
    </row>
    <row r="34" spans="2:15" ht="6" customHeight="1">
      <c r="D34" s="125"/>
      <c r="F34" s="560"/>
      <c r="H34" s="569"/>
      <c r="I34" s="438"/>
      <c r="J34" s="571"/>
      <c r="K34" s="45"/>
      <c r="L34" s="45"/>
      <c r="O34" s="45"/>
    </row>
    <row r="35" spans="2:15" ht="15" customHeight="1">
      <c r="B35" s="23" t="str">
        <f>'Used Language'!$C$63</f>
        <v>Maximum</v>
      </c>
      <c r="D35" s="128">
        <f>D28*(1+D30)</f>
        <v>0</v>
      </c>
      <c r="F35" s="560"/>
      <c r="H35" s="569"/>
      <c r="I35" s="438"/>
      <c r="J35" s="571"/>
      <c r="K35" s="45"/>
      <c r="L35" s="45"/>
      <c r="O35" s="45"/>
    </row>
    <row r="36" spans="2:15" ht="6" customHeight="1">
      <c r="D36" s="125"/>
      <c r="F36" s="560"/>
      <c r="H36" s="569"/>
      <c r="I36" s="438"/>
      <c r="J36" s="571"/>
      <c r="K36" s="45"/>
      <c r="L36" s="45"/>
      <c r="O36" s="45"/>
    </row>
    <row r="37" spans="2:15">
      <c r="B37" s="31" t="str">
        <f>'Used Language'!$C$64</f>
        <v>Best Estimate</v>
      </c>
      <c r="D37" s="127">
        <f>(D33+D35)/2</f>
        <v>0</v>
      </c>
      <c r="F37" s="561"/>
      <c r="H37" s="570"/>
      <c r="I37" s="438"/>
      <c r="J37" s="557"/>
      <c r="K37" s="45"/>
      <c r="L37" s="45"/>
      <c r="O37" s="45"/>
    </row>
    <row r="38" spans="2:15">
      <c r="D38" s="125"/>
      <c r="H38" s="115"/>
      <c r="K38" s="45"/>
      <c r="L38" s="45"/>
      <c r="O38" s="45"/>
    </row>
    <row r="39" spans="2:15">
      <c r="F39" s="559" t="str">
        <f>'Used Language'!C69</f>
        <v>Total Length of Service Connections from Property Boundary to Customer Meter [kilometer]</v>
      </c>
      <c r="H39" s="562">
        <f>H32*H30/1000</f>
        <v>0</v>
      </c>
      <c r="I39" s="438"/>
      <c r="J39" s="565">
        <f>SQRT(J24*J24+J32*J32)</f>
        <v>0</v>
      </c>
      <c r="K39" s="45"/>
      <c r="L39" s="45"/>
      <c r="O39" s="45"/>
    </row>
    <row r="40" spans="2:15">
      <c r="F40" s="560"/>
      <c r="H40" s="563"/>
      <c r="I40" s="438"/>
      <c r="J40" s="566"/>
      <c r="K40" s="45"/>
      <c r="L40" s="45"/>
      <c r="O40" s="45"/>
    </row>
    <row r="41" spans="2:15">
      <c r="F41" s="560"/>
      <c r="H41" s="563"/>
      <c r="I41" s="438"/>
      <c r="J41" s="566"/>
      <c r="K41" s="45"/>
      <c r="L41" s="45"/>
      <c r="O41" s="45"/>
    </row>
    <row r="42" spans="2:15">
      <c r="F42" s="560"/>
      <c r="H42" s="563"/>
      <c r="I42" s="438"/>
      <c r="J42" s="566"/>
      <c r="K42" s="45"/>
      <c r="L42" s="45"/>
      <c r="O42" s="45"/>
    </row>
    <row r="43" spans="2:15">
      <c r="F43" s="560"/>
      <c r="H43" s="563"/>
      <c r="I43" s="438"/>
      <c r="J43" s="566"/>
      <c r="K43" s="45"/>
      <c r="L43" s="45"/>
      <c r="O43" s="45"/>
    </row>
    <row r="44" spans="2:15">
      <c r="F44" s="561"/>
      <c r="H44" s="564"/>
      <c r="I44" s="438"/>
      <c r="J44" s="567"/>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B1:Q53"/>
  <sheetViews>
    <sheetView topLeftCell="A4" workbookViewId="0">
      <selection activeCell="F7" sqref="F7"/>
    </sheetView>
  </sheetViews>
  <sheetFormatPr baseColWidth="10"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0" t="str">
        <f>'Used Language'!C70</f>
        <v>Average Pressure</v>
      </c>
      <c r="C2" s="541"/>
      <c r="D2" s="541"/>
      <c r="E2" s="541"/>
      <c r="F2" s="542"/>
    </row>
    <row r="3" spans="2:17" ht="5.25" customHeight="1" thickBot="1"/>
    <row r="4" spans="2:17" ht="43.5" customHeight="1" thickTop="1">
      <c r="B4" s="552" t="str">
        <f>'Used Language'!C72</f>
        <v>Area</v>
      </c>
      <c r="C4" s="50"/>
      <c r="D4" s="552" t="str">
        <f>'Used Language'!$C$73</f>
        <v>Approximate Number of Connections</v>
      </c>
      <c r="E4" s="50"/>
      <c r="F4" s="552" t="str">
        <f>'Used Language'!C74</f>
        <v>Daily Average Pressure
[m]</v>
      </c>
      <c r="G4" s="51"/>
      <c r="H4" s="576" t="str">
        <f>'Used Language'!C128</f>
        <v>Home</v>
      </c>
      <c r="I4" s="577"/>
      <c r="J4" s="578"/>
    </row>
    <row r="5" spans="2:17" ht="21" customHeight="1" thickBot="1">
      <c r="B5" s="553"/>
      <c r="C5" s="50"/>
      <c r="D5" s="553"/>
      <c r="E5" s="50"/>
      <c r="F5" s="553"/>
      <c r="G5" s="51"/>
      <c r="H5" s="582"/>
      <c r="I5" s="583"/>
      <c r="J5" s="584"/>
    </row>
    <row r="6" spans="2:17" ht="6" customHeight="1" thickTop="1">
      <c r="G6" s="51"/>
    </row>
    <row r="7" spans="2:17" ht="12.75" customHeight="1">
      <c r="B7" s="132"/>
      <c r="D7" s="381"/>
      <c r="F7" s="374"/>
      <c r="G7" s="142"/>
      <c r="H7" s="142"/>
      <c r="I7" s="142"/>
      <c r="J7" s="142"/>
      <c r="K7" s="142"/>
      <c r="L7" s="142"/>
      <c r="M7" s="142"/>
      <c r="N7" s="142"/>
      <c r="O7" s="142"/>
      <c r="P7" s="142"/>
      <c r="Q7" s="142"/>
    </row>
    <row r="8" spans="2:17">
      <c r="B8" s="133"/>
      <c r="D8" s="382"/>
      <c r="F8" s="375"/>
      <c r="G8" s="142"/>
      <c r="H8" s="142"/>
      <c r="I8" s="142"/>
      <c r="J8" s="142"/>
      <c r="K8" s="142"/>
      <c r="L8" s="142"/>
      <c r="M8" s="142"/>
      <c r="N8" s="142"/>
      <c r="O8" s="142"/>
      <c r="P8" s="142"/>
      <c r="Q8" s="142"/>
    </row>
    <row r="9" spans="2:17">
      <c r="B9" s="133"/>
      <c r="D9" s="382"/>
      <c r="F9" s="375"/>
      <c r="G9" s="142"/>
      <c r="H9" s="142"/>
      <c r="I9" s="142"/>
      <c r="J9" s="142"/>
      <c r="K9" s="142"/>
      <c r="L9" s="142"/>
      <c r="M9" s="142"/>
      <c r="N9" s="142"/>
      <c r="O9" s="142"/>
      <c r="P9" s="142"/>
      <c r="Q9" s="142"/>
    </row>
    <row r="10" spans="2:17">
      <c r="B10" s="133"/>
      <c r="D10" s="382"/>
      <c r="F10" s="375"/>
      <c r="G10" s="142"/>
      <c r="H10" s="142"/>
      <c r="I10" s="142"/>
      <c r="J10" s="142"/>
      <c r="K10" s="142"/>
      <c r="L10" s="142"/>
      <c r="M10" s="142"/>
      <c r="N10" s="142"/>
      <c r="O10" s="142"/>
      <c r="P10" s="142"/>
      <c r="Q10" s="142"/>
    </row>
    <row r="11" spans="2:17">
      <c r="B11" s="133"/>
      <c r="D11" s="382"/>
      <c r="F11" s="375"/>
      <c r="G11" s="142"/>
      <c r="H11" s="142"/>
      <c r="I11" s="142"/>
      <c r="J11" s="142"/>
      <c r="K11" s="142"/>
      <c r="L11" s="142"/>
      <c r="M11" s="142"/>
      <c r="N11" s="142"/>
      <c r="O11" s="142"/>
      <c r="P11" s="142"/>
      <c r="Q11" s="142"/>
    </row>
    <row r="12" spans="2:17">
      <c r="B12" s="133"/>
      <c r="D12" s="382"/>
      <c r="F12" s="375"/>
      <c r="G12" s="142"/>
      <c r="H12" s="142"/>
      <c r="I12" s="142"/>
      <c r="J12" s="142"/>
      <c r="K12" s="142"/>
      <c r="L12" s="142"/>
      <c r="M12" s="142"/>
      <c r="N12" s="142"/>
      <c r="O12" s="142"/>
      <c r="P12" s="142"/>
      <c r="Q12" s="142"/>
    </row>
    <row r="13" spans="2:17">
      <c r="B13" s="133"/>
      <c r="D13" s="382"/>
      <c r="F13" s="375"/>
      <c r="G13" s="142"/>
      <c r="H13" s="142"/>
      <c r="I13" s="142"/>
      <c r="J13" s="142"/>
      <c r="K13" s="142"/>
      <c r="L13" s="142"/>
      <c r="M13" s="142"/>
      <c r="N13" s="142"/>
      <c r="O13" s="142"/>
      <c r="P13" s="142"/>
      <c r="Q13" s="142"/>
    </row>
    <row r="14" spans="2:17">
      <c r="B14" s="133"/>
      <c r="D14" s="382"/>
      <c r="F14" s="375"/>
      <c r="G14" s="142"/>
      <c r="H14" s="142"/>
      <c r="I14" s="142"/>
      <c r="J14" s="142"/>
      <c r="K14" s="142"/>
      <c r="L14" s="142"/>
      <c r="M14" s="142"/>
      <c r="N14" s="142"/>
      <c r="O14" s="142"/>
      <c r="P14" s="142"/>
      <c r="Q14" s="142"/>
    </row>
    <row r="15" spans="2:17" ht="12.75" customHeight="1">
      <c r="B15" s="133"/>
      <c r="D15" s="382"/>
      <c r="F15" s="375"/>
      <c r="G15" s="142"/>
      <c r="H15" s="142"/>
      <c r="I15" s="142"/>
      <c r="J15" s="142"/>
      <c r="K15" s="142"/>
      <c r="L15" s="142"/>
      <c r="M15" s="142"/>
      <c r="N15" s="142"/>
      <c r="O15" s="142"/>
      <c r="P15" s="142"/>
      <c r="Q15" s="142"/>
    </row>
    <row r="16" spans="2:17">
      <c r="B16" s="133"/>
      <c r="D16" s="382"/>
      <c r="F16" s="375"/>
      <c r="G16" s="142"/>
      <c r="H16" s="142"/>
      <c r="I16" s="142"/>
      <c r="J16" s="142"/>
      <c r="K16" s="142"/>
      <c r="L16" s="142"/>
      <c r="M16" s="142"/>
      <c r="N16" s="142"/>
      <c r="O16" s="142"/>
      <c r="P16" s="142"/>
      <c r="Q16" s="142"/>
    </row>
    <row r="17" spans="2:17">
      <c r="B17" s="133"/>
      <c r="D17" s="382"/>
      <c r="F17" s="375"/>
      <c r="G17" s="142"/>
      <c r="H17" s="142"/>
      <c r="I17" s="142"/>
      <c r="J17" s="142"/>
      <c r="K17" s="142"/>
      <c r="L17" s="142"/>
      <c r="M17" s="142"/>
      <c r="N17" s="142"/>
      <c r="O17" s="142"/>
      <c r="P17" s="142"/>
      <c r="Q17" s="142"/>
    </row>
    <row r="18" spans="2:17">
      <c r="B18" s="133"/>
      <c r="D18" s="382"/>
      <c r="F18" s="375"/>
      <c r="G18" s="142"/>
      <c r="H18" s="142"/>
      <c r="I18" s="142"/>
      <c r="J18" s="142"/>
      <c r="K18" s="142"/>
      <c r="L18" s="142"/>
      <c r="M18" s="142"/>
      <c r="N18" s="142"/>
      <c r="O18" s="142"/>
      <c r="P18" s="142"/>
      <c r="Q18" s="142"/>
    </row>
    <row r="19" spans="2:17">
      <c r="B19" s="133"/>
      <c r="D19" s="382"/>
      <c r="F19" s="375"/>
      <c r="G19" s="142"/>
      <c r="H19" s="142"/>
      <c r="I19" s="142"/>
      <c r="J19" s="142"/>
      <c r="K19" s="142"/>
      <c r="L19" s="142"/>
      <c r="M19" s="142"/>
      <c r="N19" s="142"/>
      <c r="O19" s="142"/>
      <c r="P19" s="142"/>
      <c r="Q19" s="142"/>
    </row>
    <row r="20" spans="2:17">
      <c r="B20" s="133"/>
      <c r="D20" s="382"/>
      <c r="F20" s="375"/>
      <c r="G20" s="142"/>
      <c r="H20" s="142"/>
      <c r="I20" s="142"/>
      <c r="J20" s="142"/>
      <c r="K20" s="142"/>
      <c r="L20" s="142"/>
      <c r="M20" s="142"/>
      <c r="N20" s="142"/>
      <c r="O20" s="142"/>
      <c r="P20" s="142"/>
      <c r="Q20" s="142"/>
    </row>
    <row r="21" spans="2:17" ht="12.75" customHeight="1">
      <c r="B21" s="133"/>
      <c r="D21" s="382"/>
      <c r="F21" s="375"/>
      <c r="G21" s="142"/>
      <c r="H21" s="142"/>
      <c r="I21" s="142"/>
      <c r="J21" s="142"/>
      <c r="K21" s="142"/>
      <c r="L21" s="142"/>
      <c r="M21" s="142"/>
      <c r="N21" s="142"/>
      <c r="O21" s="142"/>
      <c r="P21" s="142"/>
      <c r="Q21" s="142"/>
    </row>
    <row r="22" spans="2:17">
      <c r="B22" s="133"/>
      <c r="D22" s="382"/>
      <c r="F22" s="375"/>
      <c r="G22" s="142"/>
      <c r="H22" s="142"/>
      <c r="I22" s="142"/>
      <c r="J22" s="142"/>
      <c r="K22" s="142"/>
      <c r="L22" s="142"/>
      <c r="M22" s="142"/>
      <c r="N22" s="142"/>
      <c r="O22" s="142"/>
      <c r="P22" s="142"/>
      <c r="Q22" s="142"/>
    </row>
    <row r="23" spans="2:17">
      <c r="B23" s="133"/>
      <c r="D23" s="382"/>
      <c r="F23" s="375"/>
      <c r="G23" s="142"/>
      <c r="H23" s="142"/>
      <c r="I23" s="142"/>
      <c r="J23" s="142"/>
      <c r="K23" s="142"/>
      <c r="L23" s="142"/>
      <c r="M23" s="142"/>
      <c r="N23" s="142"/>
      <c r="O23" s="142"/>
      <c r="P23" s="142"/>
      <c r="Q23" s="142"/>
    </row>
    <row r="24" spans="2:17">
      <c r="B24" s="134"/>
      <c r="D24" s="383"/>
      <c r="F24" s="37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B1:U34"/>
  <sheetViews>
    <sheetView topLeftCell="A4" workbookViewId="0">
      <selection activeCell="B7" sqref="B7"/>
    </sheetView>
  </sheetViews>
  <sheetFormatPr baseColWidth="10"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0" t="str">
        <f>'Used Language'!C71</f>
        <v>Intermittent Supply</v>
      </c>
      <c r="C2" s="541"/>
      <c r="D2" s="541"/>
      <c r="E2" s="541"/>
      <c r="F2" s="541"/>
      <c r="G2" s="541"/>
      <c r="H2" s="542"/>
    </row>
    <row r="3" spans="2:21" ht="5.25" customHeight="1" thickBot="1"/>
    <row r="4" spans="2:21" ht="48.6" customHeight="1" thickTop="1">
      <c r="B4" s="552" t="str">
        <f>'Used Language'!C72</f>
        <v>Area</v>
      </c>
      <c r="C4" s="50"/>
      <c r="D4" s="552" t="str">
        <f>'Used Language'!$C$73</f>
        <v>Approximate Number of Connections</v>
      </c>
      <c r="E4" s="50"/>
      <c r="F4" s="552" t="str">
        <f>'Used Language'!C75</f>
        <v>Supply Time
[days per week]</v>
      </c>
      <c r="H4" s="552" t="str">
        <f>'Used Language'!C76</f>
        <v>Supply Time
[hours per day]</v>
      </c>
      <c r="I4" s="51"/>
      <c r="J4" s="576" t="str">
        <f>'Used Language'!C128</f>
        <v>Home</v>
      </c>
      <c r="K4" s="577"/>
      <c r="L4" s="578"/>
    </row>
    <row r="5" spans="2:21" ht="13.5" customHeight="1" thickBot="1">
      <c r="B5" s="553"/>
      <c r="C5" s="50"/>
      <c r="D5" s="553"/>
      <c r="E5" s="50"/>
      <c r="F5" s="553"/>
      <c r="H5" s="553"/>
      <c r="I5" s="51"/>
      <c r="J5" s="582"/>
      <c r="K5" s="583"/>
      <c r="L5" s="584"/>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B1:P40"/>
  <sheetViews>
    <sheetView zoomScaleNormal="100" zoomScaleSheetLayoutView="90" workbookViewId="0">
      <selection activeCell="M2" sqref="M2:O5"/>
    </sheetView>
  </sheetViews>
  <sheetFormatPr baseColWidth="10"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0" t="str">
        <f>'Used Language'!C80</f>
        <v>Financial Information</v>
      </c>
      <c r="C2" s="541"/>
      <c r="D2" s="541"/>
      <c r="E2" s="541"/>
      <c r="F2" s="541"/>
      <c r="G2" s="541"/>
      <c r="H2" s="541"/>
      <c r="I2" s="541"/>
      <c r="J2" s="541"/>
      <c r="K2" s="542"/>
      <c r="L2" s="147"/>
      <c r="M2" s="576" t="str">
        <f>'Used Language'!C128</f>
        <v>Home</v>
      </c>
      <c r="N2" s="577"/>
      <c r="O2" s="578"/>
    </row>
    <row r="3" spans="2:16" ht="5.25" customHeight="1">
      <c r="M3" s="579"/>
      <c r="N3" s="580"/>
      <c r="O3" s="581"/>
    </row>
    <row r="4" spans="2:16" ht="28.5" customHeight="1">
      <c r="D4" s="51"/>
      <c r="E4" s="51"/>
      <c r="F4" s="51"/>
      <c r="G4" s="607" t="str">
        <f>'Used Language'!C83</f>
        <v>per m3</v>
      </c>
      <c r="H4" s="608"/>
      <c r="I4" s="609"/>
      <c r="J4" s="26"/>
      <c r="K4" s="152" t="str">
        <f>'Used Language'!C84</f>
        <v>Currency</v>
      </c>
      <c r="L4" s="26"/>
      <c r="M4" s="579"/>
      <c r="N4" s="580"/>
      <c r="O4" s="581"/>
    </row>
    <row r="5" spans="2:16" ht="6" customHeight="1" thickBot="1">
      <c r="D5" s="51"/>
      <c r="E5" s="51"/>
      <c r="F5" s="51"/>
      <c r="H5" s="51"/>
      <c r="I5" s="51"/>
      <c r="J5" s="51"/>
      <c r="K5" s="51"/>
      <c r="L5" s="51"/>
      <c r="M5" s="582"/>
      <c r="N5" s="583"/>
      <c r="O5" s="584"/>
    </row>
    <row r="6" spans="2:16" ht="15" customHeight="1" thickTop="1">
      <c r="B6" s="549" t="str">
        <f>'Used Language'!C81</f>
        <v>Average Tariff</v>
      </c>
      <c r="C6" s="550"/>
      <c r="D6" s="550"/>
      <c r="E6" s="551"/>
      <c r="F6" s="51"/>
      <c r="G6" s="610"/>
      <c r="H6" s="611"/>
      <c r="I6" s="612"/>
      <c r="J6" s="75"/>
      <c r="K6" s="153"/>
      <c r="L6" s="143"/>
      <c r="M6" s="144"/>
      <c r="N6" s="591"/>
      <c r="O6" s="591"/>
      <c r="P6" s="144"/>
    </row>
    <row r="7" spans="2:16">
      <c r="D7" s="51"/>
      <c r="E7" s="51"/>
      <c r="F7" s="51"/>
      <c r="L7" s="144"/>
      <c r="M7" s="144"/>
      <c r="N7" s="591"/>
      <c r="O7" s="591"/>
      <c r="P7" s="144"/>
    </row>
    <row r="8" spans="2:16" ht="36" customHeight="1">
      <c r="B8" s="549" t="str">
        <f>'Used Language'!C82</f>
        <v>Variable Production and Distribution Cost
(Marginal Cost of Water)</v>
      </c>
      <c r="C8" s="550"/>
      <c r="D8" s="550"/>
      <c r="E8" s="551"/>
      <c r="F8" s="51"/>
      <c r="G8" s="610"/>
      <c r="H8" s="611"/>
      <c r="I8" s="612"/>
      <c r="J8" s="75"/>
      <c r="K8" s="152" t="str">
        <f>IF($K$6=0," ",$K$6)</f>
        <v xml:space="preserve"> </v>
      </c>
      <c r="L8" s="143"/>
      <c r="M8" s="144"/>
      <c r="N8" s="591"/>
      <c r="O8" s="591"/>
      <c r="P8" s="144"/>
    </row>
    <row r="9" spans="2:16">
      <c r="D9" s="51"/>
      <c r="E9" s="51"/>
      <c r="F9" s="51"/>
      <c r="H9" s="51"/>
      <c r="I9" s="51"/>
      <c r="J9" s="51"/>
      <c r="K9" s="51"/>
      <c r="L9" s="144"/>
      <c r="M9" s="144"/>
      <c r="N9" s="591"/>
      <c r="O9" s="591"/>
      <c r="P9" s="144"/>
    </row>
    <row r="10" spans="2:16" ht="12.75" customHeight="1">
      <c r="B10" s="145"/>
      <c r="C10" s="145"/>
      <c r="D10" s="145"/>
      <c r="E10" s="145"/>
      <c r="F10" s="145"/>
      <c r="G10" s="145"/>
      <c r="H10" s="145"/>
      <c r="I10" s="145"/>
      <c r="J10" s="145"/>
      <c r="K10" s="145"/>
      <c r="L10" s="146"/>
      <c r="M10" s="144"/>
      <c r="N10" s="591"/>
      <c r="O10" s="591"/>
      <c r="P10" s="144"/>
    </row>
    <row r="11" spans="2:16" ht="30.75" customHeight="1">
      <c r="B11" s="549" t="str">
        <f>'Used Language'!C86</f>
        <v>NRW Component</v>
      </c>
      <c r="C11" s="550"/>
      <c r="D11" s="550"/>
      <c r="E11" s="551"/>
      <c r="F11" s="145"/>
      <c r="G11" s="607" t="str">
        <f>'Used Language'!C87</f>
        <v>Annual Value</v>
      </c>
      <c r="H11" s="608"/>
      <c r="I11" s="609"/>
      <c r="J11" s="111"/>
      <c r="K11" s="111"/>
      <c r="L11" s="148"/>
      <c r="M11" s="144"/>
      <c r="N11" s="591"/>
      <c r="O11" s="591"/>
      <c r="P11" s="149"/>
    </row>
    <row r="12" spans="2:16">
      <c r="D12" s="51"/>
      <c r="E12" s="51"/>
      <c r="F12" s="145"/>
      <c r="G12" s="51"/>
      <c r="H12" s="51"/>
      <c r="I12" s="51"/>
      <c r="J12" s="51"/>
      <c r="K12" s="51"/>
      <c r="L12" s="148"/>
      <c r="M12" s="144"/>
      <c r="N12" s="591"/>
      <c r="O12" s="591"/>
      <c r="P12" s="144"/>
    </row>
    <row r="13" spans="2:16" ht="15" customHeight="1">
      <c r="B13" s="549" t="str">
        <f>'Used Language'!C25</f>
        <v>Unbilled Metered Consumption</v>
      </c>
      <c r="C13" s="550"/>
      <c r="D13" s="550"/>
      <c r="E13" s="551"/>
      <c r="F13" s="145"/>
      <c r="G13" s="601">
        <f>'Water Balance m3year'!AC14*G6</f>
        <v>0</v>
      </c>
      <c r="H13" s="602"/>
      <c r="I13" s="603"/>
      <c r="J13" s="51"/>
      <c r="K13" s="152" t="str">
        <f>K8</f>
        <v xml:space="preserve"> </v>
      </c>
      <c r="L13" s="148"/>
      <c r="M13" s="144"/>
      <c r="N13" s="591"/>
      <c r="O13" s="591"/>
      <c r="P13" s="144"/>
    </row>
    <row r="14" spans="2:16">
      <c r="D14" s="51"/>
      <c r="E14" s="51"/>
      <c r="F14" s="145"/>
      <c r="G14" s="51"/>
      <c r="H14" s="51"/>
      <c r="I14" s="51"/>
      <c r="J14" s="51"/>
      <c r="K14" s="51"/>
      <c r="L14" s="148"/>
      <c r="M14" s="144"/>
      <c r="N14" s="591"/>
      <c r="O14" s="591"/>
      <c r="P14" s="144"/>
    </row>
    <row r="15" spans="2:16" ht="15" customHeight="1">
      <c r="B15" s="549" t="str">
        <f>'Used Language'!C26</f>
        <v>Unbilled Unmetered Consumption</v>
      </c>
      <c r="C15" s="550"/>
      <c r="D15" s="550"/>
      <c r="E15" s="551"/>
      <c r="F15" s="145"/>
      <c r="G15" s="601">
        <f>'Water Balance m3year'!AC19*G6</f>
        <v>0</v>
      </c>
      <c r="H15" s="602"/>
      <c r="I15" s="603"/>
      <c r="J15" s="51"/>
      <c r="K15" s="152" t="str">
        <f>K8</f>
        <v xml:space="preserve"> </v>
      </c>
      <c r="L15" s="148"/>
      <c r="M15" s="144"/>
      <c r="N15" s="591"/>
      <c r="O15" s="591"/>
      <c r="P15" s="144"/>
    </row>
    <row r="16" spans="2:16" ht="12.75" customHeight="1">
      <c r="D16" s="51"/>
      <c r="E16" s="51"/>
      <c r="F16" s="145"/>
      <c r="G16" s="51"/>
      <c r="H16" s="51"/>
      <c r="I16" s="51"/>
      <c r="J16" s="51"/>
      <c r="K16" s="51"/>
      <c r="L16" s="148"/>
      <c r="M16" s="144"/>
      <c r="N16" s="591"/>
      <c r="O16" s="591"/>
      <c r="P16" s="144"/>
    </row>
    <row r="17" spans="2:16" ht="15" customHeight="1">
      <c r="B17" s="549" t="str">
        <f>'Used Language'!C21</f>
        <v>Commercial Losses</v>
      </c>
      <c r="C17" s="550"/>
      <c r="D17" s="550"/>
      <c r="E17" s="551"/>
      <c r="F17" s="145"/>
      <c r="G17" s="601">
        <f>'Water Balance m3year'!T26*G6</f>
        <v>0</v>
      </c>
      <c r="H17" s="602"/>
      <c r="I17" s="603"/>
      <c r="J17" s="51"/>
      <c r="K17" s="152" t="str">
        <f>K8</f>
        <v xml:space="preserve"> </v>
      </c>
      <c r="L17" s="148"/>
      <c r="M17" s="144"/>
      <c r="N17" s="591"/>
      <c r="O17" s="591"/>
      <c r="P17" s="144"/>
    </row>
    <row r="18" spans="2:16" ht="15" customHeight="1">
      <c r="M18" s="144"/>
      <c r="N18" s="369"/>
      <c r="O18" s="369"/>
      <c r="P18" s="144"/>
    </row>
    <row r="19" spans="2:16" ht="15" customHeight="1">
      <c r="B19" s="631" t="str">
        <f>'Used Language'!C27</f>
        <v>Customer Meter Inaccuracies and Data Handling Errors</v>
      </c>
      <c r="C19" s="631"/>
      <c r="D19" s="370"/>
      <c r="E19" s="370"/>
      <c r="F19" s="145"/>
      <c r="G19" s="604">
        <f>'Water Balance m3year'!AC29*G6</f>
        <v>0</v>
      </c>
      <c r="H19" s="604"/>
      <c r="J19" s="51"/>
      <c r="K19" s="379" t="str">
        <f>K17</f>
        <v xml:space="preserve"> </v>
      </c>
      <c r="L19" s="148"/>
      <c r="M19" s="144"/>
      <c r="N19" s="369"/>
      <c r="O19" s="369"/>
      <c r="P19" s="144"/>
    </row>
    <row r="20" spans="2:16" ht="15" customHeight="1">
      <c r="B20" s="631" t="str">
        <f>'Used Language'!C13</f>
        <v>Unauthorized Consumption</v>
      </c>
      <c r="C20" s="631"/>
      <c r="D20" s="370"/>
      <c r="E20" s="370"/>
      <c r="F20" s="145"/>
      <c r="G20" s="604">
        <f>'Water Balance m3year'!AC24*G6</f>
        <v>0</v>
      </c>
      <c r="H20" s="604"/>
      <c r="J20" s="51"/>
      <c r="K20" s="379" t="str">
        <f>K17</f>
        <v xml:space="preserve"> </v>
      </c>
      <c r="L20" s="148"/>
      <c r="M20" s="144"/>
      <c r="N20" s="369"/>
      <c r="O20" s="369"/>
      <c r="P20" s="144"/>
    </row>
    <row r="21" spans="2:16">
      <c r="D21" s="51"/>
      <c r="E21" s="51"/>
      <c r="F21" s="145"/>
      <c r="G21" s="51"/>
      <c r="H21" s="51"/>
      <c r="I21" s="51"/>
      <c r="J21" s="51"/>
      <c r="K21" s="51"/>
      <c r="L21" s="148"/>
      <c r="M21" s="144"/>
      <c r="N21" s="591"/>
      <c r="O21" s="591"/>
      <c r="P21" s="144"/>
    </row>
    <row r="22" spans="2:16" ht="14.25" customHeight="1">
      <c r="B22" s="605" t="str">
        <f>'Used Language'!C22</f>
        <v>Physical Losses</v>
      </c>
      <c r="C22" s="606"/>
      <c r="D22" s="606"/>
      <c r="E22" s="161"/>
      <c r="F22" s="145"/>
      <c r="G22" s="601">
        <f>IF(Start!M21=366,((D24-D26)*G8+(D26*G6))*366,((D24-D26)*G8+(D26*G6))*365)</f>
        <v>0</v>
      </c>
      <c r="H22" s="602"/>
      <c r="I22" s="603"/>
      <c r="J22" s="51"/>
      <c r="K22" s="152" t="str">
        <f>K8</f>
        <v xml:space="preserve"> </v>
      </c>
      <c r="L22" s="148"/>
      <c r="M22" s="144"/>
      <c r="N22" s="591"/>
      <c r="O22" s="591"/>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0</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618" t="str">
        <f>'Used Language'!C195</f>
        <v>Volume which could be sold to existing or new customers (m3/d)</v>
      </c>
      <c r="C26" s="619"/>
      <c r="D26" s="630"/>
      <c r="E26" s="162"/>
      <c r="F26" s="145"/>
      <c r="G26" s="145"/>
      <c r="H26" s="145"/>
      <c r="I26" s="145"/>
      <c r="J26" s="145"/>
      <c r="K26" s="145"/>
      <c r="L26" s="145"/>
      <c r="M26" s="145"/>
      <c r="N26" s="150"/>
      <c r="O26" s="150"/>
      <c r="P26" s="144"/>
    </row>
    <row r="27" spans="2:16" ht="14.25" customHeight="1">
      <c r="B27" s="618"/>
      <c r="C27" s="619"/>
      <c r="D27" s="630"/>
      <c r="E27" s="162"/>
      <c r="F27" s="145"/>
      <c r="G27" s="145"/>
      <c r="H27" s="145"/>
      <c r="I27" s="145"/>
      <c r="J27" s="145"/>
      <c r="K27" s="145"/>
      <c r="L27" s="145"/>
      <c r="M27" s="145"/>
      <c r="N27" s="150"/>
      <c r="O27" s="150"/>
      <c r="P27" s="144"/>
    </row>
    <row r="28" spans="2:16" ht="14.25" customHeight="1">
      <c r="B28" s="618"/>
      <c r="C28" s="619"/>
      <c r="D28" s="630"/>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615" t="str">
        <f>'Used Language'!C88</f>
        <v>Total Value of NRW</v>
      </c>
      <c r="C31" s="616"/>
      <c r="D31" s="616"/>
      <c r="E31" s="617"/>
      <c r="F31" s="145"/>
      <c r="G31" s="592">
        <f>IF(OR(G13="ERROR",G15="ERROR",G17="ERROR",G22="ERROR"),0,G13+G15+G17+G22)</f>
        <v>0</v>
      </c>
      <c r="H31" s="593"/>
      <c r="I31" s="594"/>
      <c r="J31" s="51"/>
      <c r="K31" s="615" t="str">
        <f>K8</f>
        <v xml:space="preserve"> </v>
      </c>
      <c r="L31" s="148"/>
      <c r="M31" s="144"/>
      <c r="N31" s="591"/>
      <c r="O31" s="591"/>
      <c r="P31" s="144"/>
    </row>
    <row r="32" spans="2:16" ht="6" customHeight="1">
      <c r="B32" s="618"/>
      <c r="C32" s="619"/>
      <c r="D32" s="619"/>
      <c r="E32" s="620"/>
      <c r="F32" s="145"/>
      <c r="G32" s="595"/>
      <c r="H32" s="596"/>
      <c r="I32" s="597"/>
      <c r="J32" s="51"/>
      <c r="K32" s="618"/>
      <c r="L32" s="148"/>
      <c r="M32" s="144"/>
      <c r="N32" s="144"/>
      <c r="O32" s="144"/>
      <c r="P32" s="144"/>
    </row>
    <row r="33" spans="2:16" ht="12.75" customHeight="1">
      <c r="B33" s="621"/>
      <c r="C33" s="622"/>
      <c r="D33" s="622"/>
      <c r="E33" s="623"/>
      <c r="F33" s="51"/>
      <c r="G33" s="598"/>
      <c r="H33" s="599"/>
      <c r="I33" s="600"/>
      <c r="J33" s="51"/>
      <c r="K33" s="621"/>
      <c r="L33" s="148"/>
      <c r="M33" s="144"/>
      <c r="N33" s="144"/>
      <c r="O33" s="144"/>
      <c r="P33" s="144"/>
    </row>
    <row r="34" spans="2:16">
      <c r="D34" s="51"/>
      <c r="E34" s="51"/>
      <c r="F34" s="51"/>
      <c r="G34" s="51"/>
      <c r="H34" s="51"/>
      <c r="I34" s="51"/>
      <c r="J34" s="51"/>
      <c r="K34" s="51"/>
      <c r="L34" s="148"/>
      <c r="M34" s="144"/>
      <c r="N34" s="144"/>
      <c r="O34" s="144"/>
      <c r="P34" s="144"/>
    </row>
    <row r="35" spans="2:16" ht="6" customHeight="1">
      <c r="B35" s="615" t="str">
        <f>'Used Language'!C89</f>
        <v>Annual Operating Cost (without Depreciation)</v>
      </c>
      <c r="C35" s="616"/>
      <c r="D35" s="616"/>
      <c r="E35" s="617"/>
      <c r="F35" s="51"/>
      <c r="G35" s="624"/>
      <c r="H35" s="625"/>
      <c r="I35" s="626"/>
      <c r="J35" s="51"/>
      <c r="K35" s="613" t="str">
        <f t="shared" ref="K35" si="0">IF($K$6=0," ",$K$6)</f>
        <v xml:space="preserve"> </v>
      </c>
      <c r="L35" s="144"/>
      <c r="M35" s="144"/>
      <c r="N35" s="144"/>
      <c r="O35" s="144"/>
      <c r="P35" s="144"/>
    </row>
    <row r="36" spans="2:16" ht="27.75" customHeight="1">
      <c r="B36" s="618"/>
      <c r="C36" s="619"/>
      <c r="D36" s="619"/>
      <c r="E36" s="620"/>
      <c r="F36" s="51"/>
      <c r="G36" s="627"/>
      <c r="H36" s="628"/>
      <c r="I36" s="629"/>
      <c r="J36" s="51"/>
      <c r="K36" s="614"/>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5"/>
  <dimension ref="B1:BV37"/>
  <sheetViews>
    <sheetView zoomScale="90" zoomScaleNormal="90" workbookViewId="0">
      <selection activeCell="B1" sqref="B1:BG1"/>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4" t="str">
        <f>'Used Language'!C153</f>
        <v>Water Balance in m3/day</v>
      </c>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4"/>
      <c r="AI1" s="634"/>
      <c r="AJ1" s="634"/>
      <c r="AK1" s="634"/>
      <c r="AL1" s="634"/>
      <c r="AM1" s="634"/>
      <c r="AN1" s="634"/>
      <c r="AO1" s="634"/>
      <c r="AP1" s="634"/>
      <c r="AQ1" s="634"/>
      <c r="AR1" s="634"/>
      <c r="AS1" s="634"/>
      <c r="AT1" s="634"/>
      <c r="AU1" s="634"/>
      <c r="AV1" s="634"/>
      <c r="AW1" s="634"/>
      <c r="AX1" s="634"/>
      <c r="AY1" s="634"/>
      <c r="AZ1" s="634"/>
      <c r="BA1" s="634"/>
      <c r="BB1" s="634"/>
      <c r="BC1" s="634"/>
      <c r="BD1" s="634"/>
      <c r="BE1" s="634"/>
      <c r="BF1" s="634"/>
      <c r="BG1" s="63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IF(Start!M21&gt;0,'Billed Cons'!D28/Start!M21,0)</f>
        <v>0</v>
      </c>
      <c r="AD4" s="684"/>
      <c r="AE4" s="684"/>
      <c r="AF4" s="684"/>
      <c r="AG4" s="684"/>
      <c r="AH4" s="684"/>
      <c r="AI4" s="684"/>
      <c r="AJ4" s="684"/>
      <c r="AK4" s="684"/>
      <c r="AL4" s="684"/>
      <c r="AM4" s="684"/>
      <c r="AN4" s="684"/>
      <c r="AO4" s="685" t="str">
        <f>'Used Language'!$C$31</f>
        <v>m3/day</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09"/>
      <c r="BP5" s="709"/>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0</v>
      </c>
      <c r="U8" s="684"/>
      <c r="V8" s="684"/>
      <c r="W8" s="684"/>
      <c r="X8" s="684"/>
      <c r="Y8" s="685" t="str">
        <f>'Used Language'!$C$31</f>
        <v>m3/day</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0</v>
      </c>
      <c r="AZ8" s="684"/>
      <c r="BA8" s="684"/>
      <c r="BB8" s="684"/>
      <c r="BC8" s="684"/>
      <c r="BD8" s="685" t="str">
        <f>'Used Language'!$C$31</f>
        <v>m3/day</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IF(Start!M21&gt;0,'Billed Cons'!H28/Start!M21,0)</f>
        <v>0</v>
      </c>
      <c r="AD9" s="684"/>
      <c r="AE9" s="684"/>
      <c r="AF9" s="684"/>
      <c r="AG9" s="684"/>
      <c r="AH9" s="684"/>
      <c r="AI9" s="684"/>
      <c r="AJ9" s="684"/>
      <c r="AK9" s="684"/>
      <c r="AL9" s="684"/>
      <c r="AM9" s="684"/>
      <c r="AN9" s="684"/>
      <c r="AO9" s="685" t="str">
        <f>'Used Language'!$C$31</f>
        <v>m3/day</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0</v>
      </c>
      <c r="L12" s="691"/>
      <c r="M12" s="691"/>
      <c r="N12" s="691"/>
      <c r="O12" s="691"/>
      <c r="P12" s="685" t="str">
        <f>'Used Language'!$C$31</f>
        <v>m3/day</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IF(Start!M21&gt;0,'Unb. Cons.'!D32/Start!M21,0)</f>
        <v>0</v>
      </c>
      <c r="AD14" s="642"/>
      <c r="AE14" s="642"/>
      <c r="AF14" s="642"/>
      <c r="AG14" s="642"/>
      <c r="AH14" s="642"/>
      <c r="AI14" s="642"/>
      <c r="AJ14" s="642"/>
      <c r="AK14" s="642"/>
      <c r="AL14" s="642"/>
      <c r="AM14" s="642"/>
      <c r="AN14" s="642"/>
      <c r="AO14" s="643" t="str">
        <f>'Used Language'!$C$31</f>
        <v>m3/day</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IF(K12=0,0,'Unb. Cons.'!O25/Start!M21*1.96/K12)</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0</v>
      </c>
      <c r="U16" s="642"/>
      <c r="V16" s="642"/>
      <c r="W16" s="642"/>
      <c r="X16" s="642"/>
      <c r="Y16" s="643" t="str">
        <f>'Used Language'!$C$31</f>
        <v>m3/day</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IF(Start!M21&gt;0,'Sys. Input'!D79/Start!M21,0)</f>
        <v>0</v>
      </c>
      <c r="C19" s="684"/>
      <c r="D19" s="684"/>
      <c r="E19" s="684"/>
      <c r="F19" s="684"/>
      <c r="G19" s="685" t="str">
        <f>'Used Language'!$C$31</f>
        <v>m3/day</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IF(Start!M21&gt;0,'Unb. Cons.'!H32/Start!M21,0)</f>
        <v>0</v>
      </c>
      <c r="AD19" s="642"/>
      <c r="AE19" s="642"/>
      <c r="AF19" s="642"/>
      <c r="AG19" s="642"/>
      <c r="AH19" s="642"/>
      <c r="AI19" s="642"/>
      <c r="AJ19" s="642"/>
      <c r="AK19" s="642"/>
      <c r="AL19" s="642"/>
      <c r="AM19" s="642"/>
      <c r="AN19" s="642"/>
      <c r="AO19" s="643" t="str">
        <f>'Used Language'!$C$31</f>
        <v>m3/day</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IF(T16=0,0,'Unb. Cons.'!O25/Start!M21*1.96/T16)</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'Unb. Cons.'!J25</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IF(Start!M21&gt;0,'Unauth. Cons.'!L31/Start!M21,0)</f>
        <v>0</v>
      </c>
      <c r="AD24" s="642"/>
      <c r="AE24" s="642"/>
      <c r="AF24" s="642"/>
      <c r="AG24" s="642"/>
      <c r="AH24" s="642"/>
      <c r="AI24" s="642"/>
      <c r="AJ24" s="642"/>
      <c r="AK24" s="642"/>
      <c r="AL24" s="642"/>
      <c r="AM24" s="642"/>
      <c r="AN24" s="642"/>
      <c r="AO24" s="643" t="str">
        <f>'Used Language'!$C$31</f>
        <v>m3/day</v>
      </c>
      <c r="AP24" s="643"/>
      <c r="AQ24" s="643"/>
      <c r="AR24" s="643"/>
      <c r="AS24" s="643"/>
      <c r="AT24" s="643"/>
      <c r="AU24" s="643"/>
      <c r="AV24" s="643"/>
      <c r="AW24" s="643"/>
      <c r="AX24" s="644"/>
      <c r="AY24" s="641">
        <f>B19-AY8</f>
        <v>0</v>
      </c>
      <c r="AZ24" s="642"/>
      <c r="BA24" s="642"/>
      <c r="BB24" s="642"/>
      <c r="BC24" s="642"/>
      <c r="BD24" s="643" t="str">
        <f>'Used Language'!$C$31</f>
        <v>m3/day</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'Unauth. Cons.'!F24</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0</v>
      </c>
      <c r="U26" s="642"/>
      <c r="V26" s="642"/>
      <c r="W26" s="642"/>
      <c r="X26" s="642"/>
      <c r="Y26" s="643" t="str">
        <f>'Used Language'!$C$31</f>
        <v>m3/day</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IF(AY24=0,0,BL25*1.96/AY24)</f>
        <v>0</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4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49">
        <f>B19-K12</f>
        <v>0</v>
      </c>
      <c r="L29" s="650"/>
      <c r="M29" s="650"/>
      <c r="N29" s="650"/>
      <c r="O29" s="650"/>
      <c r="P29" s="651" t="str">
        <f>'Used Language'!$C$31</f>
        <v>m3/day</v>
      </c>
      <c r="Q29" s="651"/>
      <c r="R29" s="651"/>
      <c r="S29" s="652"/>
      <c r="T29" s="635">
        <f>IF(T26=0,0,BJ32*1.96/T26)</f>
        <v>0</v>
      </c>
      <c r="U29" s="636"/>
      <c r="V29" s="636"/>
      <c r="W29" s="636"/>
      <c r="X29" s="636"/>
      <c r="Y29" s="636"/>
      <c r="Z29" s="636"/>
      <c r="AA29" s="636"/>
      <c r="AB29" s="637"/>
      <c r="AC29" s="641">
        <f>IF(Start!M21&gt;0,'Meter Errors'!L49/Start!M21,0)</f>
        <v>0</v>
      </c>
      <c r="AD29" s="642"/>
      <c r="AE29" s="642"/>
      <c r="AF29" s="642"/>
      <c r="AG29" s="642"/>
      <c r="AH29" s="642"/>
      <c r="AI29" s="642"/>
      <c r="AJ29" s="642"/>
      <c r="AK29" s="642"/>
      <c r="AL29" s="642"/>
      <c r="AM29" s="642"/>
      <c r="AN29" s="642"/>
      <c r="AO29" s="653" t="str">
        <f>'Used Language'!$C$31</f>
        <v>m3/day</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'Meter Errors'!N42</f>
        <v>0</v>
      </c>
      <c r="AP30" s="647"/>
      <c r="AQ30" s="647"/>
      <c r="AR30" s="647"/>
      <c r="AS30" s="647"/>
      <c r="AT30" s="647"/>
      <c r="AU30" s="647"/>
      <c r="AV30" s="647"/>
      <c r="AW30" s="647"/>
      <c r="AX30" s="64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5">
        <f>IF(K29=0,0,BL34*1.96/K29)</f>
        <v>0</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0</v>
      </c>
      <c r="U34" s="642"/>
      <c r="V34" s="642"/>
      <c r="W34" s="642"/>
      <c r="X34" s="642"/>
      <c r="Y34" s="642"/>
      <c r="Z34" s="642"/>
      <c r="AA34" s="642"/>
      <c r="AB34" s="642"/>
      <c r="AC34" s="642"/>
      <c r="AD34" s="642"/>
      <c r="AE34" s="642"/>
      <c r="AF34" s="642"/>
      <c r="AG34" s="642"/>
      <c r="AH34" s="643" t="str">
        <f>'Used Language'!C31</f>
        <v>m3/day</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IF(T34=0,0,BL35*1.96/T34)</f>
        <v>0</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4"/>
  <dimension ref="B1:BV37"/>
  <sheetViews>
    <sheetView topLeftCell="L1" zoomScale="110" zoomScaleNormal="110" workbookViewId="0">
      <selection activeCell="BP14" sqref="BP14"/>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1" t="str">
        <f>'Used Language'!C155</f>
        <v>Water Balance in m3 for a period of</v>
      </c>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2">
        <f>Start!M21</f>
        <v>365</v>
      </c>
      <c r="AG1" s="722"/>
      <c r="AH1" s="722"/>
      <c r="AI1" s="722"/>
      <c r="AJ1" s="723" t="str">
        <f>'Used Language'!C150</f>
        <v>days</v>
      </c>
      <c r="AK1" s="723"/>
      <c r="AL1" s="723"/>
      <c r="AM1" s="723"/>
      <c r="AN1" s="723"/>
      <c r="AO1" s="723"/>
      <c r="AP1" s="723"/>
      <c r="AQ1" s="723"/>
      <c r="AR1" s="723"/>
      <c r="AS1" s="723"/>
      <c r="AT1" s="723"/>
      <c r="AU1" s="723"/>
      <c r="AV1" s="723"/>
      <c r="AW1" s="723"/>
      <c r="AX1" s="723"/>
      <c r="AY1" s="723"/>
      <c r="AZ1" s="723"/>
      <c r="BA1" s="723"/>
      <c r="BB1" s="723"/>
      <c r="BC1" s="723"/>
      <c r="BD1" s="723"/>
      <c r="BE1" s="723"/>
      <c r="BF1" s="723"/>
      <c r="BG1" s="723"/>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IF(Start!M21&gt;0,'Billed Cons'!D28,0)</f>
        <v>0</v>
      </c>
      <c r="AD4" s="684"/>
      <c r="AE4" s="684"/>
      <c r="AF4" s="684"/>
      <c r="AG4" s="684"/>
      <c r="AH4" s="684"/>
      <c r="AI4" s="684"/>
      <c r="AJ4" s="684"/>
      <c r="AK4" s="684"/>
      <c r="AL4" s="684"/>
      <c r="AM4" s="684"/>
      <c r="AN4" s="684"/>
      <c r="AO4" s="685" t="s">
        <v>3059</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10"/>
      <c r="BP5" s="710"/>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0</v>
      </c>
      <c r="U8" s="684"/>
      <c r="V8" s="684"/>
      <c r="W8" s="684"/>
      <c r="X8" s="684"/>
      <c r="Y8" s="685" t="str">
        <f>'Used Language'!$C$183</f>
        <v>m3</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0</v>
      </c>
      <c r="AZ8" s="684"/>
      <c r="BA8" s="684"/>
      <c r="BB8" s="684"/>
      <c r="BC8" s="684"/>
      <c r="BD8" s="685" t="str">
        <f>'Used Language'!$C$183</f>
        <v>m3</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IF(Start!M21&gt;0,'Billed Cons'!H28,0)</f>
        <v>0</v>
      </c>
      <c r="AD9" s="684"/>
      <c r="AE9" s="684"/>
      <c r="AF9" s="684"/>
      <c r="AG9" s="684"/>
      <c r="AH9" s="684"/>
      <c r="AI9" s="684"/>
      <c r="AJ9" s="684"/>
      <c r="AK9" s="684"/>
      <c r="AL9" s="684"/>
      <c r="AM9" s="684"/>
      <c r="AN9" s="684"/>
      <c r="AO9" s="685" t="s">
        <v>3059</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0</v>
      </c>
      <c r="L12" s="691"/>
      <c r="M12" s="691"/>
      <c r="N12" s="691"/>
      <c r="O12" s="691"/>
      <c r="P12" s="685" t="s">
        <v>3059</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IF(Start!M21&gt;0,'Unb. Cons.'!D32,0)</f>
        <v>0</v>
      </c>
      <c r="AD14" s="642"/>
      <c r="AE14" s="642"/>
      <c r="AF14" s="642"/>
      <c r="AG14" s="642"/>
      <c r="AH14" s="642"/>
      <c r="AI14" s="642"/>
      <c r="AJ14" s="642"/>
      <c r="AK14" s="642"/>
      <c r="AL14" s="642"/>
      <c r="AM14" s="642"/>
      <c r="AN14" s="642"/>
      <c r="AO14" s="643" t="s">
        <v>3059</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IF(K12=0,0,'Unb. Cons.'!O25*1.96/K12)</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0</v>
      </c>
      <c r="U16" s="642"/>
      <c r="V16" s="642"/>
      <c r="W16" s="642"/>
      <c r="X16" s="642"/>
      <c r="Y16" s="643" t="s">
        <v>3059</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IF(Start!M21&gt;0,'Sys. Input'!D79,0)</f>
        <v>0</v>
      </c>
      <c r="C19" s="684"/>
      <c r="D19" s="684"/>
      <c r="E19" s="684"/>
      <c r="F19" s="684"/>
      <c r="G19" s="685" t="str">
        <f>'Used Language'!$C$183</f>
        <v>m3</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IF(Start!M21&gt;0,'Unb. Cons.'!H32,0)</f>
        <v>0</v>
      </c>
      <c r="AD19" s="642"/>
      <c r="AE19" s="642"/>
      <c r="AF19" s="642"/>
      <c r="AG19" s="642"/>
      <c r="AH19" s="642"/>
      <c r="AI19" s="642"/>
      <c r="AJ19" s="642"/>
      <c r="AK19" s="642"/>
      <c r="AL19" s="642"/>
      <c r="AM19" s="642"/>
      <c r="AN19" s="642"/>
      <c r="AO19" s="643" t="s">
        <v>3059</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IF(T16=0,0,'Unb. Cons.'!O25*1.96/T16)</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'Unb. Cons.'!J25</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IF(Start!M21&gt;0,'Unauth. Cons.'!L31,0)</f>
        <v>0</v>
      </c>
      <c r="AD24" s="642"/>
      <c r="AE24" s="642"/>
      <c r="AF24" s="642"/>
      <c r="AG24" s="642"/>
      <c r="AH24" s="642"/>
      <c r="AI24" s="642"/>
      <c r="AJ24" s="642"/>
      <c r="AK24" s="642"/>
      <c r="AL24" s="642"/>
      <c r="AM24" s="642"/>
      <c r="AN24" s="642"/>
      <c r="AO24" s="643" t="s">
        <v>3059</v>
      </c>
      <c r="AP24" s="643"/>
      <c r="AQ24" s="643"/>
      <c r="AR24" s="643"/>
      <c r="AS24" s="643"/>
      <c r="AT24" s="643"/>
      <c r="AU24" s="643"/>
      <c r="AV24" s="643"/>
      <c r="AW24" s="643"/>
      <c r="AX24" s="644"/>
      <c r="AY24" s="641">
        <f>B19-AY8</f>
        <v>0</v>
      </c>
      <c r="AZ24" s="642"/>
      <c r="BA24" s="642"/>
      <c r="BB24" s="642"/>
      <c r="BC24" s="642"/>
      <c r="BD24" s="643" t="str">
        <f>'Used Language'!$C$183</f>
        <v>m3</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'Unauth. Cons.'!F24</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0</v>
      </c>
      <c r="U26" s="642"/>
      <c r="V26" s="642"/>
      <c r="W26" s="642"/>
      <c r="X26" s="642"/>
      <c r="Y26" s="643" t="s">
        <v>3059</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IF(AY24=0,0,BL25*1.96/AY24)</f>
        <v>0</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4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49">
        <f>B19-K12</f>
        <v>0</v>
      </c>
      <c r="L29" s="650"/>
      <c r="M29" s="650"/>
      <c r="N29" s="650"/>
      <c r="O29" s="650"/>
      <c r="P29" s="651" t="str">
        <f>'Used Language'!$C$183</f>
        <v>m3</v>
      </c>
      <c r="Q29" s="651"/>
      <c r="R29" s="651"/>
      <c r="S29" s="652"/>
      <c r="T29" s="635">
        <f>IF(T26=0,0,BJ32*1.96/T26)</f>
        <v>0</v>
      </c>
      <c r="U29" s="636"/>
      <c r="V29" s="636"/>
      <c r="W29" s="636"/>
      <c r="X29" s="636"/>
      <c r="Y29" s="636"/>
      <c r="Z29" s="636"/>
      <c r="AA29" s="636"/>
      <c r="AB29" s="637"/>
      <c r="AC29" s="641">
        <f>IF(Start!M21&gt;0,'Meter Errors'!L49,0)</f>
        <v>0</v>
      </c>
      <c r="AD29" s="642"/>
      <c r="AE29" s="642"/>
      <c r="AF29" s="642"/>
      <c r="AG29" s="642"/>
      <c r="AH29" s="642"/>
      <c r="AI29" s="642"/>
      <c r="AJ29" s="642"/>
      <c r="AK29" s="642"/>
      <c r="AL29" s="642"/>
      <c r="AM29" s="642"/>
      <c r="AN29" s="642"/>
      <c r="AO29" s="653" t="s">
        <v>3059</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'Meter Errors'!N42</f>
        <v>0</v>
      </c>
      <c r="AP30" s="647"/>
      <c r="AQ30" s="647"/>
      <c r="AR30" s="647"/>
      <c r="AS30" s="647"/>
      <c r="AT30" s="647"/>
      <c r="AU30" s="647"/>
      <c r="AV30" s="647"/>
      <c r="AW30" s="647"/>
      <c r="AX30" s="64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5">
        <f>IF(K29=0,0,BL34*1.96/K29)</f>
        <v>0</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0</v>
      </c>
      <c r="U34" s="642"/>
      <c r="V34" s="642"/>
      <c r="W34" s="642"/>
      <c r="X34" s="642"/>
      <c r="Y34" s="642"/>
      <c r="Z34" s="642"/>
      <c r="AA34" s="642"/>
      <c r="AB34" s="642"/>
      <c r="AC34" s="642"/>
      <c r="AD34" s="642"/>
      <c r="AE34" s="642"/>
      <c r="AF34" s="642"/>
      <c r="AG34" s="642"/>
      <c r="AH34" s="643" t="s">
        <v>3059</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IF(T34=0,0,BL35*1.96/T34)</f>
        <v>0</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6"/>
  <dimension ref="B1:BV37"/>
  <sheetViews>
    <sheetView zoomScaleNormal="100" workbookViewId="0">
      <selection activeCell="BO2" sqref="BO2:BP4"/>
    </sheetView>
  </sheetViews>
  <sheetFormatPr baseColWidth="10"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4" t="str">
        <f>'Used Language'!C152</f>
        <v>Water Balance in m3/year</v>
      </c>
      <c r="C1" s="634"/>
      <c r="D1" s="634"/>
      <c r="E1" s="634"/>
      <c r="F1" s="634"/>
      <c r="G1" s="634"/>
      <c r="H1" s="634"/>
      <c r="I1" s="634"/>
      <c r="J1" s="634"/>
      <c r="K1" s="634"/>
      <c r="L1" s="634"/>
      <c r="M1" s="634"/>
      <c r="N1" s="634"/>
      <c r="O1" s="634"/>
      <c r="P1" s="634"/>
      <c r="Q1" s="634"/>
      <c r="R1" s="634"/>
      <c r="S1" s="634"/>
      <c r="T1" s="634"/>
      <c r="U1" s="634"/>
      <c r="V1" s="634"/>
      <c r="W1" s="634"/>
      <c r="X1" s="634"/>
      <c r="Y1" s="634"/>
      <c r="Z1" s="634"/>
      <c r="AA1" s="634"/>
      <c r="AB1" s="634"/>
      <c r="AC1" s="634"/>
      <c r="AD1" s="634"/>
      <c r="AE1" s="634"/>
      <c r="AF1" s="634"/>
      <c r="AG1" s="634"/>
      <c r="AH1" s="634"/>
      <c r="AI1" s="634"/>
      <c r="AJ1" s="634"/>
      <c r="AK1" s="634"/>
      <c r="AL1" s="634"/>
      <c r="AM1" s="634"/>
      <c r="AN1" s="634"/>
      <c r="AO1" s="634"/>
      <c r="AP1" s="634"/>
      <c r="AQ1" s="634"/>
      <c r="AR1" s="634"/>
      <c r="AS1" s="634"/>
      <c r="AT1" s="634"/>
      <c r="AU1" s="634"/>
      <c r="AV1" s="634"/>
      <c r="AW1" s="634"/>
      <c r="AX1" s="634"/>
      <c r="AY1" s="634"/>
      <c r="AZ1" s="634"/>
      <c r="BA1" s="634"/>
      <c r="BB1" s="634"/>
      <c r="BC1" s="634"/>
      <c r="BD1" s="634"/>
      <c r="BE1" s="634"/>
      <c r="BF1" s="634"/>
      <c r="BG1" s="63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6" t="str">
        <f>'Used Language'!C128</f>
        <v>Home</v>
      </c>
      <c r="BP2" s="577"/>
    </row>
    <row r="3" spans="2:74" ht="13.5" customHeight="1">
      <c r="B3" s="228"/>
      <c r="C3" s="190"/>
      <c r="D3" s="190"/>
      <c r="E3" s="190"/>
      <c r="F3" s="190"/>
      <c r="G3" s="190"/>
      <c r="H3" s="190"/>
      <c r="I3" s="190"/>
      <c r="J3" s="191"/>
      <c r="K3" s="189"/>
      <c r="L3" s="190"/>
      <c r="M3" s="190"/>
      <c r="N3" s="190"/>
      <c r="O3" s="190"/>
      <c r="P3" s="190"/>
      <c r="Q3" s="190"/>
      <c r="R3" s="190"/>
      <c r="S3" s="191"/>
      <c r="T3" s="719" t="str">
        <f>'Used Language'!$C$19</f>
        <v>Billed Authorized Consumption</v>
      </c>
      <c r="U3" s="681"/>
      <c r="V3" s="681"/>
      <c r="W3" s="681"/>
      <c r="X3" s="681"/>
      <c r="Y3" s="681"/>
      <c r="Z3" s="681"/>
      <c r="AA3" s="681"/>
      <c r="AB3" s="682"/>
      <c r="AC3" s="715" t="str">
        <f>'Used Language'!$C$23</f>
        <v>Billed Metered Consumption</v>
      </c>
      <c r="AD3" s="716"/>
      <c r="AE3" s="716"/>
      <c r="AF3" s="716"/>
      <c r="AG3" s="716"/>
      <c r="AH3" s="716"/>
      <c r="AI3" s="716"/>
      <c r="AJ3" s="716"/>
      <c r="AK3" s="716"/>
      <c r="AL3" s="716"/>
      <c r="AM3" s="716"/>
      <c r="AN3" s="716"/>
      <c r="AO3" s="716"/>
      <c r="AP3" s="716"/>
      <c r="AQ3" s="716"/>
      <c r="AR3" s="716"/>
      <c r="AS3" s="716"/>
      <c r="AT3" s="716"/>
      <c r="AU3" s="716"/>
      <c r="AV3" s="716"/>
      <c r="AW3" s="716"/>
      <c r="AX3" s="717"/>
      <c r="AY3" s="719" t="str">
        <f>'Used Language'!$C$28</f>
        <v>Revenue Water</v>
      </c>
      <c r="AZ3" s="681"/>
      <c r="BA3" s="681"/>
      <c r="BB3" s="681"/>
      <c r="BC3" s="681"/>
      <c r="BD3" s="681"/>
      <c r="BE3" s="681"/>
      <c r="BF3" s="681"/>
      <c r="BG3" s="720"/>
      <c r="BO3" s="579"/>
      <c r="BP3" s="580"/>
    </row>
    <row r="4" spans="2:74" ht="13.5" customHeight="1" thickBot="1">
      <c r="B4" s="228"/>
      <c r="C4" s="190"/>
      <c r="D4" s="190"/>
      <c r="E4" s="190"/>
      <c r="F4" s="190"/>
      <c r="G4" s="190"/>
      <c r="H4" s="190"/>
      <c r="I4" s="190"/>
      <c r="J4" s="191"/>
      <c r="K4" s="189"/>
      <c r="L4" s="190"/>
      <c r="M4" s="190"/>
      <c r="N4" s="190"/>
      <c r="O4" s="190"/>
      <c r="P4" s="190"/>
      <c r="Q4" s="190"/>
      <c r="R4" s="190"/>
      <c r="S4" s="191"/>
      <c r="T4" s="719"/>
      <c r="U4" s="681"/>
      <c r="V4" s="681"/>
      <c r="W4" s="681"/>
      <c r="X4" s="681"/>
      <c r="Y4" s="681"/>
      <c r="Z4" s="681"/>
      <c r="AA4" s="681"/>
      <c r="AB4" s="682"/>
      <c r="AC4" s="703">
        <f>IF(Start!M21&gt;364,'Billed Cons'!D28,'Water Balance m3day'!AC4*365)</f>
        <v>0</v>
      </c>
      <c r="AD4" s="684"/>
      <c r="AE4" s="684"/>
      <c r="AF4" s="684"/>
      <c r="AG4" s="684"/>
      <c r="AH4" s="684"/>
      <c r="AI4" s="684"/>
      <c r="AJ4" s="684"/>
      <c r="AK4" s="684"/>
      <c r="AL4" s="684"/>
      <c r="AM4" s="684"/>
      <c r="AN4" s="684"/>
      <c r="AO4" s="685" t="s">
        <v>1173</v>
      </c>
      <c r="AP4" s="685"/>
      <c r="AQ4" s="685"/>
      <c r="AR4" s="685"/>
      <c r="AS4" s="685"/>
      <c r="AT4" s="685"/>
      <c r="AU4" s="685"/>
      <c r="AV4" s="685"/>
      <c r="AW4" s="685"/>
      <c r="AX4" s="686"/>
      <c r="AY4" s="719"/>
      <c r="AZ4" s="681"/>
      <c r="BA4" s="681"/>
      <c r="BB4" s="681"/>
      <c r="BC4" s="681"/>
      <c r="BD4" s="681"/>
      <c r="BE4" s="681"/>
      <c r="BF4" s="681"/>
      <c r="BG4" s="720"/>
      <c r="BO4" s="579"/>
      <c r="BP4" s="580"/>
    </row>
    <row r="5" spans="2:74" ht="13.5" customHeight="1" thickTop="1">
      <c r="B5" s="228"/>
      <c r="C5" s="190"/>
      <c r="D5" s="190"/>
      <c r="E5" s="190"/>
      <c r="F5" s="190"/>
      <c r="G5" s="190"/>
      <c r="H5" s="190"/>
      <c r="I5" s="190"/>
      <c r="J5" s="191"/>
      <c r="K5" s="189"/>
      <c r="L5" s="190"/>
      <c r="M5" s="190"/>
      <c r="N5" s="190"/>
      <c r="O5" s="190"/>
      <c r="P5" s="190"/>
      <c r="Q5" s="190"/>
      <c r="R5" s="190"/>
      <c r="S5" s="191"/>
      <c r="T5" s="719"/>
      <c r="U5" s="681"/>
      <c r="V5" s="681"/>
      <c r="W5" s="681"/>
      <c r="X5" s="681"/>
      <c r="Y5" s="681"/>
      <c r="Z5" s="681"/>
      <c r="AA5" s="681"/>
      <c r="AB5" s="682"/>
      <c r="AC5" s="236"/>
      <c r="AD5" s="237"/>
      <c r="AE5" s="237"/>
      <c r="AF5" s="237"/>
      <c r="AG5" s="237"/>
      <c r="AH5" s="237"/>
      <c r="AI5" s="237"/>
      <c r="AJ5" s="237"/>
      <c r="AK5" s="237"/>
      <c r="AL5" s="237"/>
      <c r="AM5" s="237"/>
      <c r="AN5" s="237"/>
      <c r="AO5" s="238"/>
      <c r="AP5" s="238"/>
      <c r="AQ5" s="238"/>
      <c r="AR5" s="238"/>
      <c r="AS5" s="238"/>
      <c r="AT5" s="238"/>
      <c r="AU5" s="238"/>
      <c r="AV5" s="238"/>
      <c r="AW5" s="238"/>
      <c r="AX5" s="239"/>
      <c r="AY5" s="719"/>
      <c r="AZ5" s="681"/>
      <c r="BA5" s="681"/>
      <c r="BB5" s="681"/>
      <c r="BC5" s="681"/>
      <c r="BD5" s="681"/>
      <c r="BE5" s="681"/>
      <c r="BF5" s="681"/>
      <c r="BG5" s="720"/>
      <c r="BN5" s="708" t="str">
        <f>'Used Language'!C128</f>
        <v>Home</v>
      </c>
      <c r="BO5" s="710"/>
      <c r="BP5" s="710"/>
      <c r="BQ5" s="710"/>
      <c r="BR5" s="710"/>
      <c r="BS5" s="710"/>
      <c r="BT5" s="710"/>
      <c r="BU5" s="710"/>
      <c r="BV5" s="711"/>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4"/>
      <c r="AD6" s="705"/>
      <c r="AE6" s="705"/>
      <c r="AF6" s="705"/>
      <c r="AG6" s="705"/>
      <c r="AH6" s="705"/>
      <c r="AI6" s="705"/>
      <c r="AJ6" s="705"/>
      <c r="AK6" s="705"/>
      <c r="AL6" s="705"/>
      <c r="AM6" s="705"/>
      <c r="AN6" s="705"/>
      <c r="AO6" s="706"/>
      <c r="AP6" s="706"/>
      <c r="AQ6" s="706"/>
      <c r="AR6" s="706"/>
      <c r="AS6" s="706"/>
      <c r="AT6" s="706"/>
      <c r="AU6" s="706"/>
      <c r="AV6" s="706"/>
      <c r="AW6" s="706"/>
      <c r="AX6" s="707"/>
      <c r="AY6" s="189"/>
      <c r="AZ6" s="190"/>
      <c r="BA6" s="190"/>
      <c r="BB6" s="190"/>
      <c r="BC6" s="190"/>
      <c r="BD6" s="190"/>
      <c r="BE6" s="190"/>
      <c r="BF6" s="190"/>
      <c r="BG6" s="240"/>
      <c r="BN6" s="712"/>
      <c r="BO6" s="713"/>
      <c r="BP6" s="713"/>
      <c r="BQ6" s="713"/>
      <c r="BR6" s="713"/>
      <c r="BS6" s="713"/>
      <c r="BT6" s="713"/>
      <c r="BU6" s="713"/>
      <c r="BV6" s="714"/>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3">
        <f>AC4+AC9</f>
        <v>0</v>
      </c>
      <c r="U8" s="684"/>
      <c r="V8" s="684"/>
      <c r="W8" s="684"/>
      <c r="X8" s="684"/>
      <c r="Y8" s="685" t="str">
        <f>'Used Language'!$C$151</f>
        <v>m3/year</v>
      </c>
      <c r="Z8" s="685"/>
      <c r="AA8" s="685"/>
      <c r="AB8" s="686"/>
      <c r="AC8" s="715" t="str">
        <f>'Used Language'!$C$24</f>
        <v>Billed Unmetered Consumption</v>
      </c>
      <c r="AD8" s="716"/>
      <c r="AE8" s="716"/>
      <c r="AF8" s="716"/>
      <c r="AG8" s="716"/>
      <c r="AH8" s="716"/>
      <c r="AI8" s="716"/>
      <c r="AJ8" s="716"/>
      <c r="AK8" s="716"/>
      <c r="AL8" s="716"/>
      <c r="AM8" s="716"/>
      <c r="AN8" s="716"/>
      <c r="AO8" s="716"/>
      <c r="AP8" s="716"/>
      <c r="AQ8" s="716"/>
      <c r="AR8" s="716"/>
      <c r="AS8" s="716"/>
      <c r="AT8" s="716"/>
      <c r="AU8" s="716"/>
      <c r="AV8" s="716"/>
      <c r="AW8" s="716"/>
      <c r="AX8" s="717"/>
      <c r="AY8" s="703">
        <f>T8</f>
        <v>0</v>
      </c>
      <c r="AZ8" s="684"/>
      <c r="BA8" s="684"/>
      <c r="BB8" s="684"/>
      <c r="BC8" s="684"/>
      <c r="BD8" s="685" t="str">
        <f>'Used Language'!$C$151</f>
        <v>m3/year</v>
      </c>
      <c r="BE8" s="685"/>
      <c r="BF8" s="685"/>
      <c r="BG8" s="718"/>
    </row>
    <row r="9" spans="2:74" ht="13.5" customHeight="1">
      <c r="B9" s="228"/>
      <c r="C9" s="190"/>
      <c r="D9" s="190"/>
      <c r="E9" s="190"/>
      <c r="F9" s="190"/>
      <c r="G9" s="190"/>
      <c r="H9" s="190"/>
      <c r="I9" s="190"/>
      <c r="J9" s="191"/>
      <c r="K9" s="697" t="str">
        <f>'Used Language'!$C$17</f>
        <v>Authorized Consumption</v>
      </c>
      <c r="L9" s="698"/>
      <c r="M9" s="698"/>
      <c r="N9" s="698"/>
      <c r="O9" s="698"/>
      <c r="P9" s="698"/>
      <c r="Q9" s="698"/>
      <c r="R9" s="698"/>
      <c r="S9" s="699"/>
      <c r="T9" s="700"/>
      <c r="U9" s="701"/>
      <c r="V9" s="701"/>
      <c r="W9" s="701"/>
      <c r="X9" s="701"/>
      <c r="Y9" s="701"/>
      <c r="Z9" s="701"/>
      <c r="AA9" s="701"/>
      <c r="AB9" s="702"/>
      <c r="AC9" s="703">
        <f>IF(Start!M21&gt;364,'Billed Cons'!H28,'Water Balance m3day'!AC9*365)</f>
        <v>0</v>
      </c>
      <c r="AD9" s="684"/>
      <c r="AE9" s="684"/>
      <c r="AF9" s="684"/>
      <c r="AG9" s="684"/>
      <c r="AH9" s="684"/>
      <c r="AI9" s="684"/>
      <c r="AJ9" s="684"/>
      <c r="AK9" s="684"/>
      <c r="AL9" s="684"/>
      <c r="AM9" s="684"/>
      <c r="AN9" s="684"/>
      <c r="AO9" s="685" t="s">
        <v>1173</v>
      </c>
      <c r="AP9" s="685"/>
      <c r="AQ9" s="685"/>
      <c r="AR9" s="685"/>
      <c r="AS9" s="685"/>
      <c r="AT9" s="685"/>
      <c r="AU9" s="685"/>
      <c r="AV9" s="685"/>
      <c r="AW9" s="685"/>
      <c r="AX9" s="686"/>
      <c r="AY9" s="189"/>
      <c r="AZ9" s="190"/>
      <c r="BA9" s="190"/>
      <c r="BB9" s="190"/>
      <c r="BC9" s="190"/>
      <c r="BD9" s="190"/>
      <c r="BE9" s="190"/>
      <c r="BF9" s="190"/>
      <c r="BG9" s="240"/>
    </row>
    <row r="10" spans="2:74" ht="13.5" customHeight="1">
      <c r="B10" s="228"/>
      <c r="C10" s="190"/>
      <c r="D10" s="190"/>
      <c r="E10" s="190"/>
      <c r="F10" s="190"/>
      <c r="G10" s="190"/>
      <c r="H10" s="190"/>
      <c r="I10" s="190"/>
      <c r="J10" s="191"/>
      <c r="K10" s="697"/>
      <c r="L10" s="698"/>
      <c r="M10" s="698"/>
      <c r="N10" s="698"/>
      <c r="O10" s="698"/>
      <c r="P10" s="698"/>
      <c r="Q10" s="698"/>
      <c r="R10" s="698"/>
      <c r="S10" s="699"/>
      <c r="T10" s="696"/>
      <c r="U10" s="674"/>
      <c r="V10" s="674"/>
      <c r="W10" s="674"/>
      <c r="X10" s="674"/>
      <c r="Y10" s="674"/>
      <c r="Z10" s="674"/>
      <c r="AA10" s="674"/>
      <c r="AB10" s="675"/>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7"/>
      <c r="L11" s="698"/>
      <c r="M11" s="698"/>
      <c r="N11" s="698"/>
      <c r="O11" s="698"/>
      <c r="P11" s="698"/>
      <c r="Q11" s="698"/>
      <c r="R11" s="698"/>
      <c r="S11" s="699"/>
      <c r="T11" s="192"/>
      <c r="U11" s="193"/>
      <c r="V11" s="193"/>
      <c r="W11" s="193"/>
      <c r="X11" s="193"/>
      <c r="Y11" s="193"/>
      <c r="Z11" s="193"/>
      <c r="AA11" s="193"/>
      <c r="AB11" s="194"/>
      <c r="AC11" s="704"/>
      <c r="AD11" s="705"/>
      <c r="AE11" s="705"/>
      <c r="AF11" s="705"/>
      <c r="AG11" s="705"/>
      <c r="AH11" s="705"/>
      <c r="AI11" s="705"/>
      <c r="AJ11" s="705"/>
      <c r="AK11" s="705"/>
      <c r="AL11" s="705"/>
      <c r="AM11" s="705"/>
      <c r="AN11" s="705"/>
      <c r="AO11" s="706"/>
      <c r="AP11" s="706"/>
      <c r="AQ11" s="706"/>
      <c r="AR11" s="706"/>
      <c r="AS11" s="706"/>
      <c r="AT11" s="706"/>
      <c r="AU11" s="706"/>
      <c r="AV11" s="706"/>
      <c r="AW11" s="706"/>
      <c r="AX11" s="707"/>
      <c r="AY11" s="192"/>
      <c r="AZ11" s="193"/>
      <c r="BA11" s="193"/>
      <c r="BB11" s="193"/>
      <c r="BC11" s="193"/>
      <c r="BD11" s="193"/>
      <c r="BE11" s="193"/>
      <c r="BF11" s="193"/>
      <c r="BG11" s="241"/>
    </row>
    <row r="12" spans="2:74" ht="6" customHeight="1">
      <c r="B12" s="228"/>
      <c r="C12" s="190"/>
      <c r="D12" s="190"/>
      <c r="E12" s="190"/>
      <c r="F12" s="190"/>
      <c r="G12" s="190"/>
      <c r="H12" s="190"/>
      <c r="I12" s="190"/>
      <c r="J12" s="191"/>
      <c r="K12" s="690">
        <f>T8+T16</f>
        <v>0</v>
      </c>
      <c r="L12" s="691"/>
      <c r="M12" s="691"/>
      <c r="N12" s="691"/>
      <c r="O12" s="691"/>
      <c r="P12" s="685" t="s">
        <v>1173</v>
      </c>
      <c r="Q12" s="685"/>
      <c r="R12" s="685"/>
      <c r="S12" s="686"/>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0"/>
      <c r="L13" s="691"/>
      <c r="M13" s="691"/>
      <c r="N13" s="691"/>
      <c r="O13" s="691"/>
      <c r="P13" s="685"/>
      <c r="Q13" s="685"/>
      <c r="R13" s="685"/>
      <c r="S13" s="686"/>
      <c r="T13" s="668" t="str">
        <f>'Used Language'!$C$20</f>
        <v>Unbilled Authorized Consumption</v>
      </c>
      <c r="U13" s="692"/>
      <c r="V13" s="692"/>
      <c r="W13" s="692"/>
      <c r="X13" s="692"/>
      <c r="Y13" s="692"/>
      <c r="Z13" s="692"/>
      <c r="AA13" s="692"/>
      <c r="AB13" s="693"/>
      <c r="AC13" s="638" t="str">
        <f>'Used Language'!$C$25</f>
        <v>Unbilled Metered Consumption</v>
      </c>
      <c r="AD13" s="639"/>
      <c r="AE13" s="639"/>
      <c r="AF13" s="639"/>
      <c r="AG13" s="639"/>
      <c r="AH13" s="639"/>
      <c r="AI13" s="639"/>
      <c r="AJ13" s="639"/>
      <c r="AK13" s="639"/>
      <c r="AL13" s="639"/>
      <c r="AM13" s="639"/>
      <c r="AN13" s="639"/>
      <c r="AO13" s="639"/>
      <c r="AP13" s="639"/>
      <c r="AQ13" s="639"/>
      <c r="AR13" s="639"/>
      <c r="AS13" s="639"/>
      <c r="AT13" s="639"/>
      <c r="AU13" s="639"/>
      <c r="AV13" s="639"/>
      <c r="AW13" s="639"/>
      <c r="AX13" s="640"/>
      <c r="AY13" s="198"/>
      <c r="AZ13" s="199"/>
      <c r="BA13" s="199"/>
      <c r="BB13" s="199"/>
      <c r="BC13" s="199"/>
      <c r="BD13" s="199"/>
      <c r="BE13" s="199"/>
      <c r="BF13" s="199"/>
      <c r="BG13" s="209"/>
    </row>
    <row r="14" spans="2:74" ht="13.5" customHeight="1">
      <c r="B14" s="228"/>
      <c r="C14" s="190"/>
      <c r="D14" s="190"/>
      <c r="E14" s="190"/>
      <c r="F14" s="190"/>
      <c r="G14" s="190"/>
      <c r="H14" s="190"/>
      <c r="I14" s="190"/>
      <c r="J14" s="191"/>
      <c r="K14" s="695" t="str">
        <f>'Used Language'!$C$30</f>
        <v>Error Margin [+/-]:</v>
      </c>
      <c r="L14" s="688"/>
      <c r="M14" s="688"/>
      <c r="N14" s="688"/>
      <c r="O14" s="688"/>
      <c r="P14" s="688"/>
      <c r="Q14" s="688"/>
      <c r="R14" s="688"/>
      <c r="S14" s="689"/>
      <c r="T14" s="694"/>
      <c r="U14" s="692"/>
      <c r="V14" s="692"/>
      <c r="W14" s="692"/>
      <c r="X14" s="692"/>
      <c r="Y14" s="692"/>
      <c r="Z14" s="692"/>
      <c r="AA14" s="692"/>
      <c r="AB14" s="693"/>
      <c r="AC14" s="641">
        <f>IF(Start!M21&gt;364,'Unb. Cons.'!D32,'Water Balance m3day'!AC14*365)</f>
        <v>0</v>
      </c>
      <c r="AD14" s="642"/>
      <c r="AE14" s="642"/>
      <c r="AF14" s="642"/>
      <c r="AG14" s="642"/>
      <c r="AH14" s="642"/>
      <c r="AI14" s="642"/>
      <c r="AJ14" s="642"/>
      <c r="AK14" s="642"/>
      <c r="AL14" s="642"/>
      <c r="AM14" s="642"/>
      <c r="AN14" s="642"/>
      <c r="AO14" s="643" t="s">
        <v>1173</v>
      </c>
      <c r="AP14" s="643"/>
      <c r="AQ14" s="643"/>
      <c r="AR14" s="643"/>
      <c r="AS14" s="643"/>
      <c r="AT14" s="643"/>
      <c r="AU14" s="643"/>
      <c r="AV14" s="643"/>
      <c r="AW14" s="643"/>
      <c r="AX14" s="644"/>
      <c r="AY14" s="198"/>
      <c r="AZ14" s="199"/>
      <c r="BA14" s="199"/>
      <c r="BB14" s="199"/>
      <c r="BC14" s="199"/>
      <c r="BD14" s="199"/>
      <c r="BE14" s="199"/>
      <c r="BF14" s="199"/>
      <c r="BG14" s="209"/>
    </row>
    <row r="15" spans="2:74" ht="13.5" customHeight="1">
      <c r="B15" s="228"/>
      <c r="C15" s="190"/>
      <c r="D15" s="190"/>
      <c r="E15" s="190"/>
      <c r="F15" s="190"/>
      <c r="G15" s="190"/>
      <c r="H15" s="190"/>
      <c r="I15" s="190"/>
      <c r="J15" s="191"/>
      <c r="K15" s="696">
        <f>'Water Balance m3day'!K15:S15</f>
        <v>0</v>
      </c>
      <c r="L15" s="674"/>
      <c r="M15" s="674"/>
      <c r="N15" s="674"/>
      <c r="O15" s="674"/>
      <c r="P15" s="674"/>
      <c r="Q15" s="674"/>
      <c r="R15" s="674"/>
      <c r="S15" s="675"/>
      <c r="T15" s="694"/>
      <c r="U15" s="692"/>
      <c r="V15" s="692"/>
      <c r="W15" s="692"/>
      <c r="X15" s="692"/>
      <c r="Y15" s="692"/>
      <c r="Z15" s="692"/>
      <c r="AA15" s="692"/>
      <c r="AB15" s="693"/>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1">
        <f>AC14+AC19</f>
        <v>0</v>
      </c>
      <c r="U16" s="642"/>
      <c r="V16" s="642"/>
      <c r="W16" s="642"/>
      <c r="X16" s="642"/>
      <c r="Y16" s="643" t="s">
        <v>1173</v>
      </c>
      <c r="Z16" s="643"/>
      <c r="AA16" s="643"/>
      <c r="AB16" s="644"/>
      <c r="AC16" s="676"/>
      <c r="AD16" s="677"/>
      <c r="AE16" s="677"/>
      <c r="AF16" s="677"/>
      <c r="AG16" s="677"/>
      <c r="AH16" s="677"/>
      <c r="AI16" s="677"/>
      <c r="AJ16" s="677"/>
      <c r="AK16" s="677"/>
      <c r="AL16" s="677"/>
      <c r="AM16" s="677"/>
      <c r="AN16" s="677"/>
      <c r="AO16" s="678"/>
      <c r="AP16" s="678"/>
      <c r="AQ16" s="678"/>
      <c r="AR16" s="678"/>
      <c r="AS16" s="678"/>
      <c r="AT16" s="678"/>
      <c r="AU16" s="678"/>
      <c r="AV16" s="678"/>
      <c r="AW16" s="678"/>
      <c r="AX16" s="679"/>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1"/>
      <c r="U17" s="642"/>
      <c r="V17" s="642"/>
      <c r="W17" s="642"/>
      <c r="X17" s="642"/>
      <c r="Y17" s="643"/>
      <c r="Z17" s="643"/>
      <c r="AA17" s="643"/>
      <c r="AB17" s="644"/>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0" t="str">
        <f>'Used Language'!C16</f>
        <v>System Input Volume</v>
      </c>
      <c r="C18" s="681"/>
      <c r="D18" s="681"/>
      <c r="E18" s="681"/>
      <c r="F18" s="681"/>
      <c r="G18" s="681"/>
      <c r="H18" s="681"/>
      <c r="I18" s="681"/>
      <c r="J18" s="682"/>
      <c r="K18" s="189"/>
      <c r="L18" s="190"/>
      <c r="M18" s="190"/>
      <c r="N18" s="190"/>
      <c r="O18" s="190"/>
      <c r="P18" s="190"/>
      <c r="Q18" s="190"/>
      <c r="R18" s="190"/>
      <c r="S18" s="191"/>
      <c r="T18" s="665" t="str">
        <f>'Used Language'!$C$30</f>
        <v>Error Margin [+/-]:</v>
      </c>
      <c r="U18" s="666"/>
      <c r="V18" s="666"/>
      <c r="W18" s="666"/>
      <c r="X18" s="666"/>
      <c r="Y18" s="666"/>
      <c r="Z18" s="666"/>
      <c r="AA18" s="666"/>
      <c r="AB18" s="667"/>
      <c r="AC18" s="638" t="str">
        <f>'Used Language'!$C$26</f>
        <v>Unbilled Unmetered Consumption</v>
      </c>
      <c r="AD18" s="639"/>
      <c r="AE18" s="639"/>
      <c r="AF18" s="639"/>
      <c r="AG18" s="639"/>
      <c r="AH18" s="639"/>
      <c r="AI18" s="639"/>
      <c r="AJ18" s="639"/>
      <c r="AK18" s="639"/>
      <c r="AL18" s="639"/>
      <c r="AM18" s="639"/>
      <c r="AN18" s="639"/>
      <c r="AO18" s="639"/>
      <c r="AP18" s="639"/>
      <c r="AQ18" s="639"/>
      <c r="AR18" s="639"/>
      <c r="AS18" s="639"/>
      <c r="AT18" s="639"/>
      <c r="AU18" s="639"/>
      <c r="AV18" s="639"/>
      <c r="AW18" s="639"/>
      <c r="AX18" s="640"/>
      <c r="AY18" s="198"/>
      <c r="AZ18" s="199"/>
      <c r="BA18" s="199"/>
      <c r="BB18" s="199"/>
      <c r="BC18" s="199"/>
      <c r="BD18" s="199"/>
      <c r="BE18" s="199"/>
      <c r="BF18" s="199"/>
      <c r="BG18" s="209"/>
    </row>
    <row r="19" spans="2:65" ht="13.5" customHeight="1">
      <c r="B19" s="683">
        <f>IF(Start!M21&gt;364,'Sys. Input'!D79,'Water Balance m3day'!B19*365)</f>
        <v>0</v>
      </c>
      <c r="C19" s="684"/>
      <c r="D19" s="684"/>
      <c r="E19" s="684"/>
      <c r="F19" s="684"/>
      <c r="G19" s="685" t="str">
        <f>'Used Language'!$C$151</f>
        <v>m3/year</v>
      </c>
      <c r="H19" s="685"/>
      <c r="I19" s="685"/>
      <c r="J19" s="686"/>
      <c r="K19" s="189"/>
      <c r="L19" s="190"/>
      <c r="M19" s="190"/>
      <c r="N19" s="190"/>
      <c r="O19" s="190"/>
      <c r="P19" s="190"/>
      <c r="Q19" s="190"/>
      <c r="R19" s="190"/>
      <c r="S19" s="191"/>
      <c r="T19" s="665"/>
      <c r="U19" s="666"/>
      <c r="V19" s="666"/>
      <c r="W19" s="666"/>
      <c r="X19" s="666"/>
      <c r="Y19" s="666"/>
      <c r="Z19" s="666"/>
      <c r="AA19" s="666"/>
      <c r="AB19" s="667"/>
      <c r="AC19" s="641">
        <f>IF(Start!M21&gt;364,'Unb. Cons.'!H32,'Water Balance m3day'!AC19*365)</f>
        <v>0</v>
      </c>
      <c r="AD19" s="642"/>
      <c r="AE19" s="642"/>
      <c r="AF19" s="642"/>
      <c r="AG19" s="642"/>
      <c r="AH19" s="642"/>
      <c r="AI19" s="642"/>
      <c r="AJ19" s="642"/>
      <c r="AK19" s="642"/>
      <c r="AL19" s="642"/>
      <c r="AM19" s="642"/>
      <c r="AN19" s="642"/>
      <c r="AO19" s="643" t="s">
        <v>1173</v>
      </c>
      <c r="AP19" s="643"/>
      <c r="AQ19" s="643"/>
      <c r="AR19" s="643"/>
      <c r="AS19" s="643"/>
      <c r="AT19" s="643"/>
      <c r="AU19" s="643"/>
      <c r="AV19" s="643"/>
      <c r="AW19" s="643"/>
      <c r="AX19" s="644"/>
      <c r="AY19" s="198"/>
      <c r="AZ19" s="199"/>
      <c r="BA19" s="201"/>
      <c r="BB19" s="199"/>
      <c r="BC19" s="199"/>
      <c r="BD19" s="199"/>
      <c r="BE19" s="199"/>
      <c r="BF19" s="199"/>
      <c r="BG19" s="209"/>
    </row>
    <row r="20" spans="2:65" ht="13.5" customHeight="1">
      <c r="B20" s="687" t="str">
        <f>'Used Language'!$C$30</f>
        <v>Error Margin [+/-]:</v>
      </c>
      <c r="C20" s="688"/>
      <c r="D20" s="688"/>
      <c r="E20" s="688"/>
      <c r="F20" s="688"/>
      <c r="G20" s="688"/>
      <c r="H20" s="688"/>
      <c r="I20" s="688"/>
      <c r="J20" s="689"/>
      <c r="K20" s="189"/>
      <c r="L20" s="190"/>
      <c r="M20" s="190"/>
      <c r="N20" s="190"/>
      <c r="O20" s="190"/>
      <c r="P20" s="190"/>
      <c r="Q20" s="190"/>
      <c r="R20" s="190"/>
      <c r="S20" s="191"/>
      <c r="T20" s="635">
        <f>'Water Balance m3day'!T20:AB20</f>
        <v>0</v>
      </c>
      <c r="U20" s="636"/>
      <c r="V20" s="636"/>
      <c r="W20" s="636"/>
      <c r="X20" s="636"/>
      <c r="Y20" s="636"/>
      <c r="Z20" s="636"/>
      <c r="AA20" s="636"/>
      <c r="AB20" s="637"/>
      <c r="AC20" s="645" t="str">
        <f>'Used Language'!$C$30</f>
        <v>Error Margin [+/-]:</v>
      </c>
      <c r="AD20" s="646"/>
      <c r="AE20" s="646"/>
      <c r="AF20" s="646"/>
      <c r="AG20" s="646"/>
      <c r="AH20" s="646"/>
      <c r="AI20" s="646"/>
      <c r="AJ20" s="646"/>
      <c r="AK20" s="646"/>
      <c r="AL20" s="646"/>
      <c r="AM20" s="646"/>
      <c r="AN20" s="646"/>
      <c r="AO20" s="647">
        <f>'Water Balance m3day'!AO20:AX20</f>
        <v>0</v>
      </c>
      <c r="AP20" s="647"/>
      <c r="AQ20" s="647"/>
      <c r="AR20" s="647"/>
      <c r="AS20" s="647"/>
      <c r="AT20" s="647"/>
      <c r="AU20" s="647"/>
      <c r="AV20" s="647"/>
      <c r="AW20" s="647"/>
      <c r="AX20" s="648"/>
      <c r="AY20" s="198"/>
      <c r="AZ20" s="199"/>
      <c r="BA20" s="199"/>
      <c r="BB20" s="199"/>
      <c r="BC20" s="199"/>
      <c r="BD20" s="199"/>
      <c r="BE20" s="199"/>
      <c r="BF20" s="199"/>
      <c r="BG20" s="209"/>
    </row>
    <row r="21" spans="2:65" ht="6" customHeight="1">
      <c r="B21" s="673">
        <f>'Sys. Input'!F72</f>
        <v>0</v>
      </c>
      <c r="C21" s="674"/>
      <c r="D21" s="674"/>
      <c r="E21" s="674"/>
      <c r="F21" s="674"/>
      <c r="G21" s="674"/>
      <c r="H21" s="674"/>
      <c r="I21" s="674"/>
      <c r="J21" s="675"/>
      <c r="K21" s="192"/>
      <c r="L21" s="193"/>
      <c r="M21" s="193"/>
      <c r="N21" s="193"/>
      <c r="O21" s="193"/>
      <c r="P21" s="193"/>
      <c r="Q21" s="193"/>
      <c r="R21" s="193"/>
      <c r="S21" s="194"/>
      <c r="T21" s="202"/>
      <c r="U21" s="203"/>
      <c r="V21" s="203"/>
      <c r="W21" s="203"/>
      <c r="X21" s="203"/>
      <c r="Y21" s="203"/>
      <c r="Z21" s="203"/>
      <c r="AA21" s="203"/>
      <c r="AB21" s="204"/>
      <c r="AC21" s="645"/>
      <c r="AD21" s="646"/>
      <c r="AE21" s="646"/>
      <c r="AF21" s="646"/>
      <c r="AG21" s="646"/>
      <c r="AH21" s="646"/>
      <c r="AI21" s="646"/>
      <c r="AJ21" s="646"/>
      <c r="AK21" s="646"/>
      <c r="AL21" s="646"/>
      <c r="AM21" s="646"/>
      <c r="AN21" s="646"/>
      <c r="AO21" s="671"/>
      <c r="AP21" s="671"/>
      <c r="AQ21" s="671"/>
      <c r="AR21" s="671"/>
      <c r="AS21" s="671"/>
      <c r="AT21" s="671"/>
      <c r="AU21" s="671"/>
      <c r="AV21" s="671"/>
      <c r="AW21" s="671"/>
      <c r="AX21" s="672"/>
      <c r="AY21" s="658" t="str">
        <f>'Used Language'!$C$29</f>
        <v>Non-Revenue Water</v>
      </c>
      <c r="AZ21" s="659"/>
      <c r="BA21" s="659"/>
      <c r="BB21" s="659"/>
      <c r="BC21" s="659"/>
      <c r="BD21" s="659"/>
      <c r="BE21" s="659"/>
      <c r="BF21" s="659"/>
      <c r="BG21" s="660"/>
    </row>
    <row r="22" spans="2:65" ht="6" customHeight="1">
      <c r="B22" s="673"/>
      <c r="C22" s="674"/>
      <c r="D22" s="674"/>
      <c r="E22" s="674"/>
      <c r="F22" s="674"/>
      <c r="G22" s="674"/>
      <c r="H22" s="674"/>
      <c r="I22" s="674"/>
      <c r="J22" s="675"/>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8"/>
      <c r="AZ22" s="659"/>
      <c r="BA22" s="659"/>
      <c r="BB22" s="659"/>
      <c r="BC22" s="659"/>
      <c r="BD22" s="659"/>
      <c r="BE22" s="659"/>
      <c r="BF22" s="659"/>
      <c r="BG22" s="660"/>
    </row>
    <row r="23" spans="2:65" ht="13.15" customHeight="1">
      <c r="B23" s="229"/>
      <c r="C23" s="230"/>
      <c r="D23" s="230"/>
      <c r="E23" s="230"/>
      <c r="F23" s="230"/>
      <c r="G23" s="230"/>
      <c r="H23" s="230"/>
      <c r="I23" s="230"/>
      <c r="J23" s="231"/>
      <c r="K23" s="198"/>
      <c r="L23" s="199"/>
      <c r="M23" s="199"/>
      <c r="N23" s="199"/>
      <c r="O23" s="199"/>
      <c r="P23" s="199"/>
      <c r="Q23" s="199"/>
      <c r="R23" s="199"/>
      <c r="S23" s="200"/>
      <c r="T23" s="658" t="str">
        <f>'Used Language'!$C$21</f>
        <v>Commercial Losses</v>
      </c>
      <c r="U23" s="659"/>
      <c r="V23" s="659"/>
      <c r="W23" s="659"/>
      <c r="X23" s="659"/>
      <c r="Y23" s="659"/>
      <c r="Z23" s="659"/>
      <c r="AA23" s="659"/>
      <c r="AB23" s="664"/>
      <c r="AC23" s="638" t="str">
        <f>'Used Language'!C13</f>
        <v>Unauthorized Consumption</v>
      </c>
      <c r="AD23" s="639"/>
      <c r="AE23" s="639"/>
      <c r="AF23" s="639"/>
      <c r="AG23" s="639"/>
      <c r="AH23" s="639"/>
      <c r="AI23" s="639"/>
      <c r="AJ23" s="639"/>
      <c r="AK23" s="639"/>
      <c r="AL23" s="639"/>
      <c r="AM23" s="639"/>
      <c r="AN23" s="639"/>
      <c r="AO23" s="639"/>
      <c r="AP23" s="639"/>
      <c r="AQ23" s="639"/>
      <c r="AR23" s="639"/>
      <c r="AS23" s="639"/>
      <c r="AT23" s="639"/>
      <c r="AU23" s="639"/>
      <c r="AV23" s="639"/>
      <c r="AW23" s="639"/>
      <c r="AX23" s="640"/>
      <c r="AY23" s="658"/>
      <c r="AZ23" s="659"/>
      <c r="BA23" s="659"/>
      <c r="BB23" s="659"/>
      <c r="BC23" s="659"/>
      <c r="BD23" s="659"/>
      <c r="BE23" s="659"/>
      <c r="BF23" s="659"/>
      <c r="BG23" s="660"/>
    </row>
    <row r="24" spans="2:65" ht="13.5" customHeight="1">
      <c r="B24" s="229"/>
      <c r="C24" s="230"/>
      <c r="D24" s="230"/>
      <c r="E24" s="230"/>
      <c r="F24" s="230"/>
      <c r="G24" s="230"/>
      <c r="H24" s="230"/>
      <c r="I24" s="230"/>
      <c r="J24" s="231"/>
      <c r="K24" s="198"/>
      <c r="L24" s="199"/>
      <c r="M24" s="199"/>
      <c r="N24" s="199"/>
      <c r="O24" s="199"/>
      <c r="P24" s="199"/>
      <c r="Q24" s="199"/>
      <c r="R24" s="199"/>
      <c r="S24" s="200"/>
      <c r="T24" s="658"/>
      <c r="U24" s="659"/>
      <c r="V24" s="659"/>
      <c r="W24" s="659"/>
      <c r="X24" s="659"/>
      <c r="Y24" s="659"/>
      <c r="Z24" s="659"/>
      <c r="AA24" s="659"/>
      <c r="AB24" s="664"/>
      <c r="AC24" s="641">
        <f>IF(Start!M21&gt;364,'Unauth. Cons.'!L31,'Water Balance m3day'!AC24*365)</f>
        <v>0</v>
      </c>
      <c r="AD24" s="642"/>
      <c r="AE24" s="642"/>
      <c r="AF24" s="642"/>
      <c r="AG24" s="642"/>
      <c r="AH24" s="642"/>
      <c r="AI24" s="642"/>
      <c r="AJ24" s="642"/>
      <c r="AK24" s="642"/>
      <c r="AL24" s="642"/>
      <c r="AM24" s="642"/>
      <c r="AN24" s="642"/>
      <c r="AO24" s="643" t="s">
        <v>1173</v>
      </c>
      <c r="AP24" s="643"/>
      <c r="AQ24" s="643"/>
      <c r="AR24" s="643"/>
      <c r="AS24" s="643"/>
      <c r="AT24" s="643"/>
      <c r="AU24" s="643"/>
      <c r="AV24" s="643"/>
      <c r="AW24" s="643"/>
      <c r="AX24" s="644"/>
      <c r="AY24" s="641">
        <f>B19-AY8</f>
        <v>0</v>
      </c>
      <c r="AZ24" s="642"/>
      <c r="BA24" s="642"/>
      <c r="BB24" s="642"/>
      <c r="BC24" s="642"/>
      <c r="BD24" s="643" t="str">
        <f>'Used Language'!$C$151</f>
        <v>m3/year</v>
      </c>
      <c r="BE24" s="643"/>
      <c r="BF24" s="643"/>
      <c r="BG24" s="661"/>
    </row>
    <row r="25" spans="2:65" ht="13.5" customHeight="1">
      <c r="B25" s="228"/>
      <c r="C25" s="190"/>
      <c r="D25" s="190"/>
      <c r="E25" s="190"/>
      <c r="F25" s="190"/>
      <c r="G25" s="190"/>
      <c r="H25" s="190"/>
      <c r="I25" s="190"/>
      <c r="J25" s="191"/>
      <c r="K25" s="198"/>
      <c r="L25" s="199"/>
      <c r="M25" s="199"/>
      <c r="N25" s="199"/>
      <c r="O25" s="199"/>
      <c r="P25" s="199"/>
      <c r="Q25" s="199"/>
      <c r="R25" s="199"/>
      <c r="S25" s="200"/>
      <c r="T25" s="658"/>
      <c r="U25" s="659"/>
      <c r="V25" s="659"/>
      <c r="W25" s="659"/>
      <c r="X25" s="659"/>
      <c r="Y25" s="659"/>
      <c r="Z25" s="659"/>
      <c r="AA25" s="659"/>
      <c r="AB25" s="664"/>
      <c r="AC25" s="645" t="str">
        <f>'Used Language'!$C$30</f>
        <v>Error Margin [+/-]:</v>
      </c>
      <c r="AD25" s="646"/>
      <c r="AE25" s="646"/>
      <c r="AF25" s="646"/>
      <c r="AG25" s="646"/>
      <c r="AH25" s="646"/>
      <c r="AI25" s="646"/>
      <c r="AJ25" s="646"/>
      <c r="AK25" s="646"/>
      <c r="AL25" s="646"/>
      <c r="AM25" s="646"/>
      <c r="AN25" s="646"/>
      <c r="AO25" s="647">
        <f>'Water Balance m3day'!AO25:AX25</f>
        <v>0</v>
      </c>
      <c r="AP25" s="647"/>
      <c r="AQ25" s="647"/>
      <c r="AR25" s="647"/>
      <c r="AS25" s="647"/>
      <c r="AT25" s="647"/>
      <c r="AU25" s="647"/>
      <c r="AV25" s="647"/>
      <c r="AW25" s="647"/>
      <c r="AX25" s="648"/>
      <c r="AY25" s="655" t="str">
        <f>'Used Language'!$C$30</f>
        <v>Error Margin [+/-]:</v>
      </c>
      <c r="AZ25" s="656"/>
      <c r="BA25" s="656"/>
      <c r="BB25" s="656"/>
      <c r="BC25" s="656"/>
      <c r="BD25" s="656"/>
      <c r="BE25" s="656"/>
      <c r="BF25" s="656"/>
      <c r="BG25" s="662"/>
      <c r="BJ25" s="222">
        <f>AC24*AO25/1.96</f>
        <v>0</v>
      </c>
      <c r="BK25" s="221">
        <f>BJ25*BJ25</f>
        <v>0</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1">
        <f>AC24+AC29</f>
        <v>0</v>
      </c>
      <c r="U26" s="642"/>
      <c r="V26" s="642"/>
      <c r="W26" s="642"/>
      <c r="X26" s="642"/>
      <c r="Y26" s="643" t="s">
        <v>1173</v>
      </c>
      <c r="Z26" s="643"/>
      <c r="AA26" s="643"/>
      <c r="AB26" s="644"/>
      <c r="AC26" s="645"/>
      <c r="AD26" s="646"/>
      <c r="AE26" s="646"/>
      <c r="AF26" s="646"/>
      <c r="AG26" s="646"/>
      <c r="AH26" s="646"/>
      <c r="AI26" s="646"/>
      <c r="AJ26" s="646"/>
      <c r="AK26" s="646"/>
      <c r="AL26" s="646"/>
      <c r="AM26" s="646"/>
      <c r="AN26" s="646"/>
      <c r="AO26" s="671"/>
      <c r="AP26" s="671"/>
      <c r="AQ26" s="671"/>
      <c r="AR26" s="671"/>
      <c r="AS26" s="671"/>
      <c r="AT26" s="671"/>
      <c r="AU26" s="671"/>
      <c r="AV26" s="671"/>
      <c r="AW26" s="671"/>
      <c r="AX26" s="672"/>
      <c r="AY26" s="635">
        <f>'Water Balance m3day'!AY26:BG27</f>
        <v>0</v>
      </c>
      <c r="AZ26" s="636"/>
      <c r="BA26" s="636"/>
      <c r="BB26" s="636"/>
      <c r="BC26" s="636"/>
      <c r="BD26" s="636"/>
      <c r="BE26" s="636"/>
      <c r="BF26" s="636"/>
      <c r="BG26" s="663"/>
      <c r="BJ26" s="222"/>
    </row>
    <row r="27" spans="2:65" ht="6" customHeight="1">
      <c r="B27" s="229"/>
      <c r="C27" s="230"/>
      <c r="D27" s="230"/>
      <c r="E27" s="230"/>
      <c r="F27" s="230"/>
      <c r="G27" s="230"/>
      <c r="H27" s="230"/>
      <c r="I27" s="230"/>
      <c r="J27" s="231"/>
      <c r="K27" s="198"/>
      <c r="L27" s="199"/>
      <c r="M27" s="199"/>
      <c r="N27" s="199"/>
      <c r="O27" s="199"/>
      <c r="P27" s="199"/>
      <c r="Q27" s="199"/>
      <c r="R27" s="199"/>
      <c r="S27" s="200"/>
      <c r="T27" s="641"/>
      <c r="U27" s="642"/>
      <c r="V27" s="642"/>
      <c r="W27" s="642"/>
      <c r="X27" s="642"/>
      <c r="Y27" s="643"/>
      <c r="Z27" s="643"/>
      <c r="AA27" s="643"/>
      <c r="AB27" s="644"/>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5"/>
      <c r="AZ27" s="636"/>
      <c r="BA27" s="636"/>
      <c r="BB27" s="636"/>
      <c r="BC27" s="636"/>
      <c r="BD27" s="636"/>
      <c r="BE27" s="636"/>
      <c r="BF27" s="636"/>
      <c r="BG27" s="663"/>
      <c r="BJ27" s="222"/>
    </row>
    <row r="28" spans="2:65" ht="26.45" customHeight="1">
      <c r="B28" s="228"/>
      <c r="C28" s="190"/>
      <c r="D28" s="190"/>
      <c r="E28" s="190"/>
      <c r="F28" s="190"/>
      <c r="G28" s="190"/>
      <c r="H28" s="190"/>
      <c r="I28" s="190"/>
      <c r="J28" s="191"/>
      <c r="K28" s="658" t="str">
        <f>'Used Language'!$C$18</f>
        <v>Water Losses</v>
      </c>
      <c r="L28" s="659"/>
      <c r="M28" s="659"/>
      <c r="N28" s="659"/>
      <c r="O28" s="659"/>
      <c r="P28" s="659"/>
      <c r="Q28" s="659"/>
      <c r="R28" s="659"/>
      <c r="S28" s="664"/>
      <c r="T28" s="665" t="str">
        <f>'Used Language'!$C$30</f>
        <v>Error Margin [+/-]:</v>
      </c>
      <c r="U28" s="666"/>
      <c r="V28" s="666"/>
      <c r="W28" s="666"/>
      <c r="X28" s="666"/>
      <c r="Y28" s="666"/>
      <c r="Z28" s="666"/>
      <c r="AA28" s="666"/>
      <c r="AB28" s="667"/>
      <c r="AC28" s="668" t="str">
        <f>'Used Language'!$C$27</f>
        <v>Customer Meter Inaccuracies and Data Handling Errors</v>
      </c>
      <c r="AD28" s="669"/>
      <c r="AE28" s="669"/>
      <c r="AF28" s="669"/>
      <c r="AG28" s="669"/>
      <c r="AH28" s="669"/>
      <c r="AI28" s="669"/>
      <c r="AJ28" s="669"/>
      <c r="AK28" s="669"/>
      <c r="AL28" s="669"/>
      <c r="AM28" s="669"/>
      <c r="AN28" s="669"/>
      <c r="AO28" s="669"/>
      <c r="AP28" s="669"/>
      <c r="AQ28" s="669"/>
      <c r="AR28" s="669"/>
      <c r="AS28" s="669"/>
      <c r="AT28" s="669"/>
      <c r="AU28" s="669"/>
      <c r="AV28" s="669"/>
      <c r="AW28" s="669"/>
      <c r="AX28" s="670"/>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49">
        <f>B19-K12</f>
        <v>0</v>
      </c>
      <c r="L29" s="650"/>
      <c r="M29" s="650"/>
      <c r="N29" s="650"/>
      <c r="O29" s="650"/>
      <c r="P29" s="651" t="str">
        <f>'Used Language'!$C$151</f>
        <v>m3/year</v>
      </c>
      <c r="Q29" s="651"/>
      <c r="R29" s="651"/>
      <c r="S29" s="652"/>
      <c r="T29" s="635">
        <f>'Water Balance m3day'!T29:AB29</f>
        <v>0</v>
      </c>
      <c r="U29" s="636"/>
      <c r="V29" s="636"/>
      <c r="W29" s="636"/>
      <c r="X29" s="636"/>
      <c r="Y29" s="636"/>
      <c r="Z29" s="636"/>
      <c r="AA29" s="636"/>
      <c r="AB29" s="637"/>
      <c r="AC29" s="641">
        <f>IF(Start!M21&gt;364,'Meter Errors'!L49,'Water Balance m3day'!AC29*365)</f>
        <v>0</v>
      </c>
      <c r="AD29" s="642"/>
      <c r="AE29" s="642"/>
      <c r="AF29" s="642"/>
      <c r="AG29" s="642"/>
      <c r="AH29" s="642"/>
      <c r="AI29" s="642"/>
      <c r="AJ29" s="642"/>
      <c r="AK29" s="642"/>
      <c r="AL29" s="642"/>
      <c r="AM29" s="642"/>
      <c r="AN29" s="642"/>
      <c r="AO29" s="653" t="s">
        <v>1173</v>
      </c>
      <c r="AP29" s="653"/>
      <c r="AQ29" s="653"/>
      <c r="AR29" s="653"/>
      <c r="AS29" s="653"/>
      <c r="AT29" s="653"/>
      <c r="AU29" s="653"/>
      <c r="AV29" s="653"/>
      <c r="AW29" s="653"/>
      <c r="AX29" s="654"/>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5" t="str">
        <f>'Used Language'!$C$30</f>
        <v>Error Margin [+/-]:</v>
      </c>
      <c r="L30" s="656"/>
      <c r="M30" s="656"/>
      <c r="N30" s="656"/>
      <c r="O30" s="656"/>
      <c r="P30" s="656"/>
      <c r="Q30" s="656"/>
      <c r="R30" s="656"/>
      <c r="S30" s="657"/>
      <c r="T30" s="244"/>
      <c r="U30" s="244"/>
      <c r="V30" s="244"/>
      <c r="W30" s="244"/>
      <c r="X30" s="244"/>
      <c r="Y30" s="244"/>
      <c r="Z30" s="244"/>
      <c r="AA30" s="244"/>
      <c r="AB30" s="244"/>
      <c r="AC30" s="645" t="str">
        <f>'Used Language'!$C$30</f>
        <v>Error Margin [+/-]:</v>
      </c>
      <c r="AD30" s="646"/>
      <c r="AE30" s="646"/>
      <c r="AF30" s="646"/>
      <c r="AG30" s="646"/>
      <c r="AH30" s="646"/>
      <c r="AI30" s="646"/>
      <c r="AJ30" s="646"/>
      <c r="AK30" s="646"/>
      <c r="AL30" s="646"/>
      <c r="AM30" s="646"/>
      <c r="AN30" s="646"/>
      <c r="AO30" s="647">
        <f>'Water Balance m3day'!AO30:AX30</f>
        <v>0</v>
      </c>
      <c r="AP30" s="647"/>
      <c r="AQ30" s="647"/>
      <c r="AR30" s="647"/>
      <c r="AS30" s="647"/>
      <c r="AT30" s="647"/>
      <c r="AU30" s="647"/>
      <c r="AV30" s="647"/>
      <c r="AW30" s="647"/>
      <c r="AX30" s="648"/>
      <c r="AY30" s="246"/>
      <c r="AZ30" s="247"/>
      <c r="BA30" s="247"/>
      <c r="BB30" s="247"/>
      <c r="BC30" s="247"/>
      <c r="BD30" s="247"/>
      <c r="BE30" s="247"/>
      <c r="BF30" s="247"/>
      <c r="BG30" s="248"/>
      <c r="BJ30" s="222">
        <f>AC29*AO30/1.96</f>
        <v>0</v>
      </c>
      <c r="BK30" s="221">
        <f>BJ30*BJ30</f>
        <v>0</v>
      </c>
      <c r="BL30" s="222">
        <f>T29*T26/1.96</f>
        <v>0</v>
      </c>
      <c r="BM30" s="221">
        <f>BL30*BL30</f>
        <v>0</v>
      </c>
    </row>
    <row r="31" spans="2:65" ht="6" customHeight="1">
      <c r="B31" s="228"/>
      <c r="C31" s="190"/>
      <c r="D31" s="190"/>
      <c r="E31" s="190"/>
      <c r="F31" s="190"/>
      <c r="G31" s="190"/>
      <c r="H31" s="190"/>
      <c r="I31" s="190"/>
      <c r="J31" s="191"/>
      <c r="K31" s="635">
        <f>'Water Balance m3day'!K31:S32</f>
        <v>0</v>
      </c>
      <c r="L31" s="636"/>
      <c r="M31" s="636"/>
      <c r="N31" s="636"/>
      <c r="O31" s="636"/>
      <c r="P31" s="636"/>
      <c r="Q31" s="636"/>
      <c r="R31" s="636"/>
      <c r="S31" s="637"/>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5"/>
      <c r="L32" s="636"/>
      <c r="M32" s="636"/>
      <c r="N32" s="636"/>
      <c r="O32" s="636"/>
      <c r="P32" s="636"/>
      <c r="Q32" s="636"/>
      <c r="R32" s="636"/>
      <c r="S32" s="637"/>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0</v>
      </c>
      <c r="BK32" s="221">
        <f>BK25+BK30</f>
        <v>0</v>
      </c>
    </row>
    <row r="33" spans="2:65" ht="13.5" customHeight="1">
      <c r="B33" s="228"/>
      <c r="C33" s="190"/>
      <c r="D33" s="190"/>
      <c r="E33" s="190"/>
      <c r="F33" s="190"/>
      <c r="G33" s="190"/>
      <c r="H33" s="190"/>
      <c r="I33" s="190"/>
      <c r="J33" s="191"/>
      <c r="K33" s="244"/>
      <c r="L33" s="244"/>
      <c r="M33" s="244"/>
      <c r="N33" s="244"/>
      <c r="O33" s="244"/>
      <c r="P33" s="244"/>
      <c r="Q33" s="244"/>
      <c r="R33" s="244"/>
      <c r="S33" s="244"/>
      <c r="T33" s="638" t="str">
        <f>'Used Language'!C22</f>
        <v>Physical Losses</v>
      </c>
      <c r="U33" s="639"/>
      <c r="V33" s="639"/>
      <c r="W33" s="639"/>
      <c r="X33" s="639"/>
      <c r="Y33" s="639"/>
      <c r="Z33" s="639"/>
      <c r="AA33" s="639"/>
      <c r="AB33" s="639"/>
      <c r="AC33" s="639"/>
      <c r="AD33" s="639"/>
      <c r="AE33" s="639"/>
      <c r="AF33" s="639"/>
      <c r="AG33" s="639"/>
      <c r="AH33" s="639"/>
      <c r="AI33" s="639"/>
      <c r="AJ33" s="639"/>
      <c r="AK33" s="639"/>
      <c r="AL33" s="639"/>
      <c r="AM33" s="639"/>
      <c r="AN33" s="639"/>
      <c r="AO33" s="639"/>
      <c r="AP33" s="639"/>
      <c r="AQ33" s="639"/>
      <c r="AR33" s="639"/>
      <c r="AS33" s="639"/>
      <c r="AT33" s="639"/>
      <c r="AU33" s="639"/>
      <c r="AV33" s="639"/>
      <c r="AW33" s="639"/>
      <c r="AX33" s="640"/>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1">
        <f>K29-T26</f>
        <v>0</v>
      </c>
      <c r="U34" s="642"/>
      <c r="V34" s="642"/>
      <c r="W34" s="642"/>
      <c r="X34" s="642"/>
      <c r="Y34" s="642"/>
      <c r="Z34" s="642"/>
      <c r="AA34" s="642"/>
      <c r="AB34" s="642"/>
      <c r="AC34" s="642"/>
      <c r="AD34" s="642"/>
      <c r="AE34" s="642"/>
      <c r="AF34" s="642"/>
      <c r="AG34" s="642"/>
      <c r="AH34" s="643" t="s">
        <v>1173</v>
      </c>
      <c r="AI34" s="643"/>
      <c r="AJ34" s="643"/>
      <c r="AK34" s="643"/>
      <c r="AL34" s="643"/>
      <c r="AM34" s="643"/>
      <c r="AN34" s="643"/>
      <c r="AO34" s="643"/>
      <c r="AP34" s="643"/>
      <c r="AQ34" s="643"/>
      <c r="AR34" s="643"/>
      <c r="AS34" s="643"/>
      <c r="AT34" s="643"/>
      <c r="AU34" s="643"/>
      <c r="AV34" s="643"/>
      <c r="AW34" s="643"/>
      <c r="AX34" s="644"/>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5" t="str">
        <f>'Used Language'!$C$30</f>
        <v>Error Margin [+/-]:</v>
      </c>
      <c r="U35" s="646"/>
      <c r="V35" s="646"/>
      <c r="W35" s="646"/>
      <c r="X35" s="646"/>
      <c r="Y35" s="646"/>
      <c r="Z35" s="646"/>
      <c r="AA35" s="646"/>
      <c r="AB35" s="646"/>
      <c r="AC35" s="646"/>
      <c r="AD35" s="646"/>
      <c r="AE35" s="646"/>
      <c r="AF35" s="646"/>
      <c r="AG35" s="646"/>
      <c r="AH35" s="647">
        <f>'Water Balance m3day'!AH35:AX35</f>
        <v>0</v>
      </c>
      <c r="AI35" s="647"/>
      <c r="AJ35" s="647"/>
      <c r="AK35" s="647"/>
      <c r="AL35" s="647"/>
      <c r="AM35" s="647"/>
      <c r="AN35" s="647"/>
      <c r="AO35" s="647"/>
      <c r="AP35" s="647"/>
      <c r="AQ35" s="647"/>
      <c r="AR35" s="647"/>
      <c r="AS35" s="647"/>
      <c r="AT35" s="647"/>
      <c r="AU35" s="647"/>
      <c r="AV35" s="647"/>
      <c r="AW35" s="647"/>
      <c r="AX35" s="648"/>
      <c r="AY35" s="198"/>
      <c r="AZ35" s="199"/>
      <c r="BA35" s="199"/>
      <c r="BB35" s="199"/>
      <c r="BC35" s="199"/>
      <c r="BD35" s="199"/>
      <c r="BE35" s="199"/>
      <c r="BF35" s="199"/>
      <c r="BG35" s="209"/>
      <c r="BL35" s="223">
        <f>SQRT(BM35)</f>
        <v>0</v>
      </c>
      <c r="BM35" s="221">
        <f>BM15+BM25+BM30</f>
        <v>0</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2"/>
      <c r="AK36" s="632"/>
      <c r="AL36" s="632"/>
      <c r="AM36" s="632"/>
      <c r="AN36" s="632"/>
      <c r="AO36" s="632"/>
      <c r="AP36" s="632"/>
      <c r="AQ36" s="632"/>
      <c r="AR36" s="632"/>
      <c r="AS36" s="632"/>
      <c r="AT36" s="632"/>
      <c r="AU36" s="632"/>
      <c r="AV36" s="632"/>
      <c r="AW36" s="632"/>
      <c r="AX36" s="633"/>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hyperlink ref="BO2:BP4" location="Start!A1" display="Home"/>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pageSetUpPr fitToPage="1"/>
  </sheetPr>
  <dimension ref="B1:AD73"/>
  <sheetViews>
    <sheetView topLeftCell="A43" zoomScaleNormal="100" workbookViewId="0"/>
  </sheetViews>
  <sheetFormatPr baseColWidth="10"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0" t="str">
        <f>'Used Language'!C7</f>
        <v>Performance Indicators</v>
      </c>
      <c r="C2" s="541"/>
      <c r="D2" s="541"/>
      <c r="E2" s="541"/>
      <c r="F2" s="541"/>
      <c r="G2" s="541"/>
      <c r="H2" s="541"/>
      <c r="I2" s="541"/>
      <c r="J2" s="541"/>
      <c r="K2" s="541"/>
      <c r="L2" s="542"/>
      <c r="M2" s="147"/>
      <c r="N2" s="147"/>
      <c r="O2" s="147"/>
      <c r="P2" s="147"/>
    </row>
    <row r="3" spans="2:21" ht="5.25" customHeight="1">
      <c r="O3" s="147"/>
    </row>
    <row r="4" spans="2:21" ht="6" customHeight="1">
      <c r="O4" s="147"/>
    </row>
    <row r="5" spans="2:21" ht="18" customHeight="1">
      <c r="B5" s="743" t="str">
        <f>'Used Language'!$C$36</f>
        <v>Level of Service</v>
      </c>
      <c r="C5" s="744"/>
      <c r="D5" s="744"/>
      <c r="E5" s="744"/>
      <c r="F5" s="744"/>
      <c r="G5" s="744"/>
      <c r="H5" s="744"/>
      <c r="I5" s="744"/>
      <c r="J5" s="744"/>
      <c r="K5" s="744"/>
      <c r="L5" s="745"/>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24" t="str">
        <f>'Used Language'!C128</f>
        <v>Home</v>
      </c>
      <c r="O7" s="725"/>
      <c r="P7" s="726"/>
    </row>
    <row r="8" spans="2:21" ht="6" customHeight="1" thickBot="1">
      <c r="N8" s="727"/>
      <c r="O8" s="728"/>
      <c r="P8" s="729"/>
    </row>
    <row r="9" spans="2:21" ht="27.75" customHeight="1" thickTop="1">
      <c r="B9" s="730" t="str">
        <f>'Used Language'!$C$44</f>
        <v>Average Supply Time [h/day]</v>
      </c>
      <c r="C9" s="731"/>
      <c r="D9" s="732"/>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30" t="str">
        <f>'Used Language'!$C$45</f>
        <v>Average Pressure [m]</v>
      </c>
      <c r="C11" s="731"/>
      <c r="D11" s="732"/>
      <c r="F11" s="270">
        <f>Pressure!F33</f>
        <v>0</v>
      </c>
      <c r="H11" s="271">
        <f>Pressure!F26</f>
        <v>0</v>
      </c>
      <c r="J11" s="270">
        <f>F11*(1-H11)</f>
        <v>0</v>
      </c>
      <c r="L11" s="270">
        <f>F11*(1+H11)</f>
        <v>0</v>
      </c>
      <c r="M11" s="251"/>
      <c r="N11" s="252"/>
      <c r="O11" s="253"/>
      <c r="P11" s="253"/>
    </row>
    <row r="12" spans="2:21">
      <c r="N12" s="49"/>
      <c r="O12" s="51"/>
      <c r="P12" s="51"/>
    </row>
    <row r="13" spans="2:21" ht="18" customHeight="1">
      <c r="B13" s="743" t="str">
        <f>'Used Language'!$C$37</f>
        <v>Volume of Physical Losses</v>
      </c>
      <c r="C13" s="744"/>
      <c r="D13" s="744"/>
      <c r="E13" s="744"/>
      <c r="F13" s="744"/>
      <c r="G13" s="744"/>
      <c r="H13" s="744"/>
      <c r="I13" s="744"/>
      <c r="J13" s="744"/>
      <c r="K13" s="744"/>
      <c r="L13" s="745"/>
      <c r="N13" s="49"/>
      <c r="O13" s="51"/>
      <c r="P13" s="51"/>
      <c r="S13" s="49" t="s">
        <v>1316</v>
      </c>
      <c r="T13" s="259" t="s">
        <v>1062</v>
      </c>
      <c r="U13" s="259" t="s">
        <v>1073</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1071</v>
      </c>
      <c r="R15" s="49">
        <f>Network!D35</f>
        <v>0</v>
      </c>
      <c r="S15" s="49">
        <f>R15*18*$F$11/24*$F$9/1000</f>
        <v>0</v>
      </c>
      <c r="T15" s="260">
        <f>SQRT($H$9*$H$9+$H$11*$H$11+Network!D30*Network!D30)</f>
        <v>0</v>
      </c>
      <c r="U15" s="261">
        <f>((S15*T15)/1.96)^2</f>
        <v>0</v>
      </c>
    </row>
    <row r="16" spans="2:21" ht="6" customHeight="1">
      <c r="N16" s="49"/>
      <c r="O16" s="51"/>
      <c r="P16" s="51"/>
    </row>
    <row r="17" spans="2:21" ht="45" customHeight="1">
      <c r="B17" s="730" t="str">
        <f>'Used Language'!$C$46</f>
        <v>CAPL - Current Annual Volume of Physical Losses [m3/day]</v>
      </c>
      <c r="C17" s="731"/>
      <c r="D17" s="732"/>
      <c r="F17" s="269">
        <f>'Water Balance m3day'!T34</f>
        <v>0</v>
      </c>
      <c r="H17" s="271">
        <f>'Water Balance m3day'!AH35</f>
        <v>0</v>
      </c>
      <c r="J17" s="269">
        <f>F17*(1-H17)</f>
        <v>0</v>
      </c>
      <c r="L17" s="269">
        <f>F17*(1+H17)</f>
        <v>0</v>
      </c>
      <c r="M17" s="251"/>
      <c r="N17" s="252"/>
      <c r="O17" s="253"/>
      <c r="P17" s="51" t="s">
        <v>1070</v>
      </c>
      <c r="R17" s="261">
        <f>Network!H30</f>
        <v>0</v>
      </c>
      <c r="S17" s="49">
        <f>R17*0.8*$F$11/24*$F$9/1000</f>
        <v>0</v>
      </c>
      <c r="T17" s="260">
        <f>SQRT($H$9*$H$9+$H$11*$H$11+Network!J24*Network!J24)</f>
        <v>0</v>
      </c>
      <c r="U17" s="261">
        <f>((S17*T17)/1.96)^2</f>
        <v>0</v>
      </c>
    </row>
    <row r="18" spans="2:21" ht="6" customHeight="1">
      <c r="N18" s="49"/>
      <c r="O18" s="51"/>
      <c r="P18" s="51"/>
      <c r="R18" s="261"/>
      <c r="T18" s="260"/>
      <c r="U18" s="261"/>
    </row>
    <row r="19" spans="2:21" ht="48.75" customHeight="1">
      <c r="B19" s="730" t="str">
        <f>'Used Language'!$C$47</f>
        <v>MAPL - Minimum Achievable Volume of Physical Losses [m3/day]</v>
      </c>
      <c r="C19" s="731"/>
      <c r="D19" s="732"/>
      <c r="F19" s="269">
        <f>IF((((Network!D37*18+Network!H30*0.8+Network!H39*25)*PIs!F11)/24*PIs!F9)*365/1000&gt;0,(((Network!D37*18+Network!H30*0.8+Network!H39*25)*PIs!F11)/24*PIs!F9)/1000,0)</f>
        <v>0</v>
      </c>
      <c r="H19" s="271">
        <f>IF(F19=0,0,(SQRT(U20))*1.96/F19)</f>
        <v>0</v>
      </c>
      <c r="J19" s="269">
        <f>F19*(1-H19)</f>
        <v>0</v>
      </c>
      <c r="L19" s="269">
        <f>F19*(1+H19)</f>
        <v>0</v>
      </c>
      <c r="M19" s="251"/>
      <c r="N19" s="252"/>
      <c r="O19" s="253"/>
      <c r="P19" s="51" t="s">
        <v>1072</v>
      </c>
      <c r="R19" s="262">
        <f>Network!H39</f>
        <v>0</v>
      </c>
      <c r="S19" s="49">
        <f>R19*25*365*$F$11/24*$F$9/1000/1000</f>
        <v>0</v>
      </c>
      <c r="T19" s="260">
        <f>SQRT($H$9*$H$9+$H$11*$H$11+Network!J39*Network!J39)</f>
        <v>0</v>
      </c>
      <c r="U19" s="261">
        <f>((S19*T19)/1.96)^2</f>
        <v>0</v>
      </c>
    </row>
    <row r="20" spans="2:21">
      <c r="N20" s="49"/>
      <c r="O20" s="51"/>
      <c r="P20" s="51"/>
      <c r="S20" s="263"/>
      <c r="T20" s="264"/>
      <c r="U20" s="261">
        <f>SUM(U17:U19)</f>
        <v>0</v>
      </c>
    </row>
    <row r="21" spans="2:21" ht="18" customHeight="1">
      <c r="B21" s="743" t="str">
        <f>'Used Language'!$C$38</f>
        <v>Physical Loss Performance Indicators</v>
      </c>
      <c r="C21" s="744"/>
      <c r="D21" s="744"/>
      <c r="E21" s="744"/>
      <c r="F21" s="744"/>
      <c r="G21" s="744"/>
      <c r="H21" s="744"/>
      <c r="I21" s="744"/>
      <c r="J21" s="744"/>
      <c r="K21" s="744"/>
      <c r="L21" s="745"/>
      <c r="N21" s="737" t="str">
        <f>'Used Language'!C41</f>
        <v>Performance Group</v>
      </c>
      <c r="O21" s="738"/>
      <c r="P21" s="739"/>
      <c r="S21" s="263"/>
      <c r="T21" s="265"/>
      <c r="U21" s="264"/>
    </row>
    <row r="22" spans="2:21" ht="12.75" customHeight="1">
      <c r="N22" s="740"/>
      <c r="O22" s="741"/>
      <c r="P22" s="742"/>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33" t="str">
        <f>'Used Language'!C42</f>
        <v>Standard</v>
      </c>
      <c r="O23" s="254"/>
      <c r="P23" s="735" t="str">
        <f>'Used Language'!C43</f>
        <v>Low and Middle Income Countries</v>
      </c>
    </row>
    <row r="24" spans="2:21" ht="6" customHeight="1">
      <c r="N24" s="734"/>
      <c r="O24" s="255"/>
      <c r="P24" s="736"/>
      <c r="S24" s="266"/>
    </row>
    <row r="25" spans="2:21" ht="30" customHeight="1">
      <c r="B25" s="730" t="str">
        <f>'Used Language'!$C$50</f>
        <v>Infrastructure Leakage Index (ILI)</v>
      </c>
      <c r="C25" s="731"/>
      <c r="D25" s="732"/>
      <c r="F25" s="269">
        <f>IF(F19=0,0,F17/F19)</f>
        <v>0</v>
      </c>
      <c r="H25" s="271">
        <f>SQRT(H17*H17+H19*H19)</f>
        <v>0</v>
      </c>
      <c r="J25" s="269">
        <f>F25*(1-H25)</f>
        <v>0</v>
      </c>
      <c r="L25" s="269">
        <f>F25*(1+H25)</f>
        <v>0</v>
      </c>
      <c r="N25" s="734"/>
      <c r="O25" s="255"/>
      <c r="P25" s="736"/>
    </row>
    <row r="26" spans="2:21" ht="6" customHeight="1">
      <c r="N26" s="291"/>
      <c r="O26" s="255"/>
      <c r="P26" s="292"/>
    </row>
    <row r="27" spans="2:21" ht="114.75" customHeight="1">
      <c r="B27" s="730" t="str">
        <f>'Used Language'!$C$48</f>
        <v>Liters per Connection per Day (w.s.p.)
w.s.p.: when the system is pressurized - this means the value is already corrected in the case of intermittent supply</v>
      </c>
      <c r="C27" s="731"/>
      <c r="D27" s="732"/>
      <c r="F27" s="269">
        <f>IF(OR(Network!H30=0,F9=0),0,F17/Network!H30*1000/F9*24)</f>
        <v>0</v>
      </c>
      <c r="H27" s="271">
        <f>SQRT(H9*H9+Network!J24*Network!J24+'Water Balance m3year'!AH35*'Water Balance m3year'!AH35)</f>
        <v>0</v>
      </c>
      <c r="J27" s="269">
        <f>F27*(1-H27)</f>
        <v>0</v>
      </c>
      <c r="L27" s="269">
        <f>F27*(1+H27)</f>
        <v>0</v>
      </c>
      <c r="N27" s="746" t="str">
        <f>IF(F25=0,"",IF(F25&lt;1.51,"A1",(IF($F$25&lt;2.01,"A2",(IF($F$25&lt;4.01,"B",(IF($F$25&lt;8,"C","D"))))))))</f>
        <v/>
      </c>
      <c r="O27" s="293"/>
      <c r="P27" s="753" t="str">
        <f>IF(F25=0,"",IF(F25&lt;2.01,"A1",(IF(F25&lt;4.01,"A2",(IF(F25&lt;8.01,"B",(IF(F25&lt;16.01,"C","D"))))))))</f>
        <v/>
      </c>
    </row>
    <row r="28" spans="2:21" ht="6" customHeight="1">
      <c r="M28" s="251"/>
      <c r="N28" s="746"/>
      <c r="O28" s="293"/>
      <c r="P28" s="753"/>
    </row>
    <row r="29" spans="2:21" ht="45" customHeight="1">
      <c r="B29" s="730" t="str">
        <f>'Used Language'!$C$49</f>
        <v>Liters per Connection per Day per meter Pressure (w.s.p.)</v>
      </c>
      <c r="C29" s="731"/>
      <c r="D29" s="732"/>
      <c r="F29" s="269">
        <f>IF(F11=0,0,F27/F11)</f>
        <v>0</v>
      </c>
      <c r="H29" s="271">
        <f>SQRT(H27*H27+H11*H11)</f>
        <v>0</v>
      </c>
      <c r="J29" s="269">
        <f>F29*(1-H29)</f>
        <v>0</v>
      </c>
      <c r="L29" s="269">
        <f>F29*(1+H29)</f>
        <v>0</v>
      </c>
      <c r="N29" s="746"/>
      <c r="O29" s="293"/>
      <c r="P29" s="753"/>
      <c r="S29" s="49" t="s">
        <v>1061</v>
      </c>
      <c r="T29" s="49" t="s">
        <v>1062</v>
      </c>
      <c r="U29" s="49" t="s">
        <v>1073</v>
      </c>
    </row>
    <row r="30" spans="2:21" ht="6" customHeight="1">
      <c r="M30" s="251"/>
      <c r="N30" s="746"/>
      <c r="O30" s="293"/>
      <c r="P30" s="753"/>
      <c r="R30" s="49" t="s">
        <v>1068</v>
      </c>
      <c r="S30" s="261">
        <f>'Water Balance m3year'!K12</f>
        <v>0</v>
      </c>
      <c r="T30" s="267">
        <f>'Water Balance m3year'!K15</f>
        <v>0</v>
      </c>
      <c r="U30" s="261">
        <f>((S30*T30)/1.96)^2</f>
        <v>0</v>
      </c>
    </row>
    <row r="31" spans="2:21" ht="24" customHeight="1">
      <c r="B31" s="730" t="str">
        <f>'Used Language'!C107</f>
        <v>m3/km mains per hour (w.s.p.)</v>
      </c>
      <c r="C31" s="731"/>
      <c r="D31" s="732"/>
      <c r="F31" s="272">
        <f>IF(OR(Network!D37=0,F9=0),0,F17/F9/Network!D37)</f>
        <v>0</v>
      </c>
      <c r="H31" s="271">
        <f>SQRT(H9*H9+'Water Balance m3year'!AH35*'Water Balance m3year'!AH35+Network!D30*Network!D30)</f>
        <v>0</v>
      </c>
      <c r="J31" s="272">
        <f>F31*(1-H31)</f>
        <v>0</v>
      </c>
      <c r="L31" s="272">
        <f>F31*(1+H31)</f>
        <v>0</v>
      </c>
      <c r="N31" s="322" t="str">
        <f>'Used Language'!C116</f>
        <v>Explanations</v>
      </c>
      <c r="O31" s="256"/>
      <c r="P31" s="321" t="str">
        <f>'Used Language'!C116</f>
        <v>Explanations</v>
      </c>
      <c r="S31" s="261"/>
      <c r="T31" s="267"/>
      <c r="U31" s="261"/>
    </row>
    <row r="32" spans="2:21">
      <c r="M32" s="251"/>
      <c r="R32" s="49" t="s">
        <v>1069</v>
      </c>
      <c r="S32" s="261">
        <f>'Water Balance m3year'!T26</f>
        <v>0</v>
      </c>
      <c r="T32" s="260">
        <f>'Water Balance m3year'!T29</f>
        <v>0</v>
      </c>
      <c r="U32" s="261">
        <f>((S32*T32)/1.96)^2</f>
        <v>0</v>
      </c>
    </row>
    <row r="33" spans="2:21" ht="18" customHeight="1">
      <c r="B33" s="743" t="str">
        <f>'Used Language'!$C$39</f>
        <v>Commercial Loss Performance Indicators</v>
      </c>
      <c r="C33" s="744"/>
      <c r="D33" s="744"/>
      <c r="E33" s="744"/>
      <c r="F33" s="744"/>
      <c r="G33" s="744"/>
      <c r="H33" s="744"/>
      <c r="I33" s="744"/>
      <c r="J33" s="744"/>
      <c r="K33" s="744"/>
      <c r="L33" s="745"/>
      <c r="N33" s="257"/>
      <c r="O33" s="257"/>
      <c r="P33" s="257"/>
    </row>
    <row r="34" spans="2:21">
      <c r="M34" s="251"/>
      <c r="N34" s="257"/>
      <c r="O34" s="257"/>
      <c r="P34" s="257"/>
      <c r="S34" s="261">
        <f>S30*F37</f>
        <v>0</v>
      </c>
      <c r="U34" s="261">
        <f>SUM(U30:U32)</f>
        <v>0</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1061</v>
      </c>
      <c r="T36" s="49" t="s">
        <v>1062</v>
      </c>
      <c r="U36" s="49" t="s">
        <v>1073</v>
      </c>
    </row>
    <row r="37" spans="2:21" ht="43.5" customHeight="1">
      <c r="B37" s="730" t="str">
        <f>'Used Language'!$C$51</f>
        <v>Commercial Losses expressed in % of Authorized Consumption</v>
      </c>
      <c r="C37" s="731"/>
      <c r="D37" s="732"/>
      <c r="F37" s="271">
        <f>IF('Water Balance m3year'!K12=0,0,'Water Balance m3year'!T26/'Water Balance m3year'!K12)</f>
        <v>0</v>
      </c>
      <c r="H37" s="271">
        <f>IF($S$34=0,0,(SQRT($U$34))*1.96/$S$34)</f>
        <v>0</v>
      </c>
      <c r="J37" s="271">
        <f>F37*(1-H37)</f>
        <v>0</v>
      </c>
      <c r="L37" s="271">
        <f>F37*(1+H37)</f>
        <v>0</v>
      </c>
      <c r="S37" s="261"/>
      <c r="T37" s="267"/>
      <c r="U37" s="261"/>
    </row>
    <row r="38" spans="2:21" ht="6" customHeight="1">
      <c r="Q38" s="33"/>
      <c r="R38" s="33"/>
      <c r="S38" s="33"/>
      <c r="T38" s="33"/>
      <c r="U38" s="33"/>
    </row>
    <row r="39" spans="2:21" ht="43.5" customHeight="1">
      <c r="B39" s="730" t="str">
        <f>'Used Language'!$C$154</f>
        <v>liters/connection/day</v>
      </c>
      <c r="C39" s="731"/>
      <c r="D39" s="732"/>
      <c r="F39" s="269">
        <f>IF(Network!H30=0,0,'Water Balance m3day'!T26/Network!H30*1000)</f>
        <v>0</v>
      </c>
      <c r="H39" s="271">
        <f>SQRT(Network!J24*Network!J24+T32*T32)</f>
        <v>0</v>
      </c>
      <c r="J39" s="269">
        <f>F39*(1-H39)</f>
        <v>0</v>
      </c>
      <c r="L39" s="269">
        <f>F39*(1+H39)</f>
        <v>0</v>
      </c>
      <c r="S39" s="261"/>
      <c r="T39" s="267"/>
      <c r="U39" s="261"/>
    </row>
    <row r="40" spans="2:21" ht="6" customHeight="1">
      <c r="S40" s="261"/>
      <c r="T40" s="267"/>
      <c r="U40" s="261"/>
    </row>
    <row r="41" spans="2:21" ht="43.5" customHeight="1">
      <c r="B41" s="730" t="str">
        <f>'Used Language'!C185</f>
        <v>liters/customer/day</v>
      </c>
      <c r="C41" s="731"/>
      <c r="D41" s="732"/>
      <c r="F41" s="269">
        <f>IF(Network!H7=0,0,'Water Balance m3day'!T26/Network!H7*1000)</f>
        <v>0</v>
      </c>
      <c r="H41" s="271">
        <f>SQRT(Network!J7*Network!J7+T32*T32)</f>
        <v>0</v>
      </c>
      <c r="J41" s="269">
        <f>F41*(1-H41)</f>
        <v>0</v>
      </c>
      <c r="L41" s="269">
        <f>F41*(1+H41)</f>
        <v>0</v>
      </c>
      <c r="S41" s="261"/>
      <c r="T41" s="267"/>
      <c r="U41" s="261"/>
    </row>
    <row r="42" spans="2:21">
      <c r="S42" s="261"/>
      <c r="T42" s="267"/>
      <c r="U42" s="261"/>
    </row>
    <row r="43" spans="2:21" ht="18" customHeight="1">
      <c r="B43" s="743" t="str">
        <f>'Used Language'!$C$186</f>
        <v>NRW Performance Indicators</v>
      </c>
      <c r="C43" s="744"/>
      <c r="D43" s="744"/>
      <c r="E43" s="744"/>
      <c r="F43" s="744"/>
      <c r="G43" s="744"/>
      <c r="H43" s="744"/>
      <c r="I43" s="744"/>
      <c r="J43" s="744"/>
      <c r="K43" s="744"/>
      <c r="L43" s="745"/>
      <c r="N43" s="737" t="str">
        <f>'Used Language'!C41</f>
        <v>Performance Group</v>
      </c>
      <c r="O43" s="738"/>
      <c r="P43" s="739"/>
      <c r="S43" s="261"/>
      <c r="T43" s="267"/>
      <c r="U43" s="261"/>
    </row>
    <row r="44" spans="2:21" ht="12.75" customHeight="1">
      <c r="M44" s="257"/>
      <c r="N44" s="740"/>
      <c r="O44" s="741"/>
      <c r="P44" s="742"/>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47" t="str">
        <f>'Used Language'!C42</f>
        <v>Standard</v>
      </c>
      <c r="O45" s="314"/>
      <c r="P45" s="751" t="str">
        <f>'Used Language'!C43</f>
        <v>Low and Middle Income Countries</v>
      </c>
      <c r="S45" s="261"/>
      <c r="T45" s="267"/>
      <c r="U45" s="261"/>
    </row>
    <row r="46" spans="2:21">
      <c r="N46" s="748"/>
      <c r="O46" s="250"/>
      <c r="P46" s="752"/>
      <c r="S46" s="261"/>
      <c r="T46" s="267"/>
      <c r="U46" s="264"/>
    </row>
    <row r="47" spans="2:21" ht="43.5" customHeight="1">
      <c r="B47" s="730" t="str">
        <f>'Used Language'!$C$52</f>
        <v>Volume of Non-Revenue Water expressed in % of System Input Volume</v>
      </c>
      <c r="C47" s="731"/>
      <c r="D47" s="732"/>
      <c r="F47" s="271">
        <f>IF('Water Balance m3year'!B19=0,0,'Water Balance m3year'!AY24/'Water Balance m3year'!B19)</f>
        <v>0</v>
      </c>
      <c r="H47" s="271">
        <f>'Water Balance m3year'!AY26</f>
        <v>0</v>
      </c>
      <c r="J47" s="271">
        <f>F47*(1-H47)</f>
        <v>0</v>
      </c>
      <c r="L47" s="271">
        <f>F47*(1+H47)</f>
        <v>0</v>
      </c>
      <c r="N47" s="749" t="str">
        <f>IF(F51=0,"",IF(F51&lt;AA68+0.01,"A1",(IF(F51&lt;AA69+0.01,"A2",(IF(F51&lt;AA70+0.01,"B",(IF(F51&lt;AA71+0.01,"C","D"))))))))</f>
        <v/>
      </c>
      <c r="O47" s="311"/>
      <c r="P47" s="750" t="str">
        <f>IF(F51=0,"",IF(F51&lt;Z68+0.01,"A1",(IF(F51&lt;Z69+0.01,"A2",(IF(F51&lt;Z70+0.01,"B",(IF(F51&lt;Z71+0.01,"C","D"))))))))</f>
        <v/>
      </c>
      <c r="S47" s="261"/>
      <c r="T47" s="267"/>
      <c r="U47" s="264"/>
    </row>
    <row r="48" spans="2:21" ht="6" customHeight="1">
      <c r="N48" s="749"/>
      <c r="O48" s="311"/>
      <c r="P48" s="750"/>
      <c r="S48" s="261"/>
      <c r="T48" s="267"/>
      <c r="U48" s="264"/>
    </row>
    <row r="49" spans="2:30" ht="43.5" customHeight="1">
      <c r="B49" s="730" t="str">
        <f>'Used Language'!$C$53</f>
        <v>Value of Non-Revenue Water expressed in % of Annual Operating Cost</v>
      </c>
      <c r="C49" s="731"/>
      <c r="D49" s="732"/>
      <c r="F49" s="271">
        <f>IF('Financial Data'!G35=0,0,'Financial Data'!G31/'Financial Data'!G35)</f>
        <v>0</v>
      </c>
      <c r="H49" s="271">
        <f>H47</f>
        <v>0</v>
      </c>
      <c r="J49" s="271">
        <f>F49*(1-H49)</f>
        <v>0</v>
      </c>
      <c r="L49" s="271">
        <f>F49*(1+H49)</f>
        <v>0</v>
      </c>
      <c r="N49" s="749"/>
      <c r="O49" s="311"/>
      <c r="P49" s="750"/>
      <c r="S49" s="261"/>
      <c r="T49" s="267"/>
      <c r="U49" s="264"/>
    </row>
    <row r="50" spans="2:30" ht="6" customHeight="1">
      <c r="N50" s="313"/>
      <c r="O50" s="310"/>
      <c r="P50" s="312"/>
      <c r="S50" s="261"/>
      <c r="T50" s="267"/>
      <c r="U50" s="264"/>
    </row>
    <row r="51" spans="2:30" ht="115.5" customHeight="1">
      <c r="B51" s="730" t="str">
        <f>'Used Language'!$C$48</f>
        <v>Liters per Connection per Day (w.s.p.)
w.s.p.: when the system is pressurized - this means the value is already corrected in the case of intermittent supply</v>
      </c>
      <c r="C51" s="731"/>
      <c r="D51" s="732"/>
      <c r="F51" s="269">
        <f>IF(Network!H30=0,0,'Water Balance m3day'!AY24/Network!H30*1000/F9*24)</f>
        <v>0</v>
      </c>
      <c r="H51" s="271">
        <f>SQRT(H9*H9+Network!J10*Network!J10+'Water Balance m3year'!AY26*'Water Balance m3year'!AY26)</f>
        <v>0</v>
      </c>
      <c r="J51" s="269">
        <f>F51*(1-H51)</f>
        <v>0</v>
      </c>
      <c r="L51" s="269">
        <f>F51*(1+H51)</f>
        <v>0</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3069</v>
      </c>
      <c r="Z56" s="282"/>
      <c r="AA56" s="282">
        <v>50</v>
      </c>
      <c r="AB56" s="282">
        <v>65</v>
      </c>
      <c r="AC56" s="282">
        <v>75</v>
      </c>
      <c r="AD56" s="284">
        <v>85</v>
      </c>
    </row>
    <row r="57" spans="2:30" ht="19.5" thickBot="1">
      <c r="U57" s="264"/>
      <c r="Y57" s="282" t="s">
        <v>3070</v>
      </c>
      <c r="Z57" s="282"/>
      <c r="AA57" s="282">
        <v>100</v>
      </c>
      <c r="AB57" s="282">
        <v>125</v>
      </c>
      <c r="AC57" s="282">
        <v>150</v>
      </c>
      <c r="AD57" s="284">
        <v>175</v>
      </c>
    </row>
    <row r="58" spans="2:30" ht="19.5" thickBot="1">
      <c r="Y58" s="282" t="s">
        <v>1625</v>
      </c>
      <c r="Z58" s="282"/>
      <c r="AA58" s="282">
        <v>200</v>
      </c>
      <c r="AB58" s="282">
        <v>250</v>
      </c>
      <c r="AC58" s="282">
        <v>300</v>
      </c>
      <c r="AD58" s="284">
        <v>350</v>
      </c>
    </row>
    <row r="59" spans="2:30" ht="19.5" thickBot="1">
      <c r="Y59" s="282" t="s">
        <v>1630</v>
      </c>
      <c r="Z59" s="282"/>
      <c r="AA59" s="282">
        <v>350</v>
      </c>
      <c r="AB59" s="282">
        <v>450</v>
      </c>
      <c r="AC59" s="282">
        <v>550</v>
      </c>
      <c r="AD59" s="284">
        <v>650</v>
      </c>
    </row>
    <row r="60" spans="2:30" ht="19.5" thickBot="1">
      <c r="Y60" s="282" t="s">
        <v>1634</v>
      </c>
      <c r="Z60" s="282"/>
      <c r="AA60" s="282"/>
      <c r="AB60" s="282"/>
      <c r="AC60" s="282"/>
      <c r="AD60" s="284"/>
    </row>
    <row r="61" spans="2:30" ht="15.75" thickBot="1">
      <c r="Z61" s="33">
        <v>15</v>
      </c>
      <c r="AA61" s="33">
        <v>25</v>
      </c>
      <c r="AB61" s="33">
        <v>35</v>
      </c>
      <c r="AC61" s="33">
        <v>45</v>
      </c>
      <c r="AD61" s="33">
        <v>50</v>
      </c>
    </row>
    <row r="62" spans="2:30" ht="19.5" thickBot="1">
      <c r="Y62" s="285" t="s">
        <v>3069</v>
      </c>
      <c r="Z62" s="285">
        <v>55</v>
      </c>
      <c r="AA62" s="285">
        <v>80</v>
      </c>
      <c r="AB62" s="285">
        <v>105</v>
      </c>
      <c r="AC62" s="285">
        <v>130</v>
      </c>
      <c r="AD62" s="287">
        <v>155</v>
      </c>
    </row>
    <row r="63" spans="2:30" ht="19.5" thickBot="1">
      <c r="Y63" s="285" t="s">
        <v>3070</v>
      </c>
      <c r="Z63" s="285">
        <v>110</v>
      </c>
      <c r="AA63" s="285">
        <v>160</v>
      </c>
      <c r="AB63" s="285">
        <v>210</v>
      </c>
      <c r="AC63" s="285">
        <v>260</v>
      </c>
      <c r="AD63" s="287">
        <v>310</v>
      </c>
    </row>
    <row r="64" spans="2:30" ht="19.5" thickBot="1">
      <c r="Y64" s="285" t="s">
        <v>1625</v>
      </c>
      <c r="Z64" s="285">
        <v>220</v>
      </c>
      <c r="AA64" s="285">
        <v>320</v>
      </c>
      <c r="AB64" s="285">
        <v>420</v>
      </c>
      <c r="AC64" s="285">
        <v>520</v>
      </c>
      <c r="AD64" s="287">
        <v>620</v>
      </c>
    </row>
    <row r="65" spans="25:30" ht="19.5" thickBot="1">
      <c r="Y65" s="285" t="s">
        <v>1630</v>
      </c>
      <c r="Z65" s="285">
        <v>400</v>
      </c>
      <c r="AA65" s="285">
        <v>600</v>
      </c>
      <c r="AB65" s="285">
        <v>800</v>
      </c>
      <c r="AC65" s="285">
        <v>1000</v>
      </c>
      <c r="AD65" s="287">
        <v>1200</v>
      </c>
    </row>
    <row r="66" spans="25:30" ht="19.5" thickBot="1">
      <c r="Y66" s="289" t="s">
        <v>1634</v>
      </c>
      <c r="Z66" s="289"/>
      <c r="AA66" s="289"/>
      <c r="AB66" s="289"/>
      <c r="AC66" s="289"/>
      <c r="AD66" s="290"/>
    </row>
    <row r="67" spans="25:30" ht="16.5" thickTop="1" thickBot="1"/>
    <row r="68" spans="25:30" ht="19.5" thickBot="1">
      <c r="Y68" s="308" t="s">
        <v>3069</v>
      </c>
      <c r="Z68" s="33">
        <f>IF(F11&lt;15.01,Z62,IF(F11&lt;25.01,AA62,IF(F11&lt;35.01,AB62,IF(F11&lt;45.01,AC62,IF(F11&gt;=45.01,AD62)))))</f>
        <v>55</v>
      </c>
      <c r="AA68" s="33">
        <f>IF(F11&lt;25.01,AA56,IF(F11&lt;35.01,AB56,IF(F11&lt;45.01,AC56,IF(F11&gt;=45.01,AD56))))</f>
        <v>50</v>
      </c>
    </row>
    <row r="69" spans="25:30" ht="19.5" thickBot="1">
      <c r="Y69" s="308" t="s">
        <v>3070</v>
      </c>
      <c r="Z69" s="33">
        <f>IF(F11&lt;15.01,Z63,IF(F11&lt;25.01,AA63,IF(F11&lt;35.01,AB63,IF(F11&lt;45.01,AC63,IF(F11&gt;=45.01,AD63)))))</f>
        <v>110</v>
      </c>
      <c r="AA69" s="33">
        <f>IF(F11&lt;25.01,AA57,IF(F11&lt;35.01,AB57,IF(F11&lt;45.01,AC57,IF(F11&gt;=45.01,AD57))))</f>
        <v>100</v>
      </c>
    </row>
    <row r="70" spans="25:30" ht="19.5" thickBot="1">
      <c r="Y70" s="308" t="s">
        <v>1625</v>
      </c>
      <c r="Z70" s="33">
        <f>IF(F11&lt;15.01,Z64,IF(F11&lt;25.01,AA64,IF(F11&lt;35.01,AB64,IF(F11&lt;45.01,AC64,IF(F11&gt;=45.01,AD64)))))</f>
        <v>220</v>
      </c>
      <c r="AA70" s="33">
        <f>IF(F11&lt;25.01,AA58,IF(F11&lt;35.01,AB58,IF(F11&lt;45.01,AC58,IF(F11&gt;=45.01,AD58))))</f>
        <v>200</v>
      </c>
    </row>
    <row r="71" spans="25:30" ht="19.5" thickBot="1">
      <c r="Y71" s="308" t="s">
        <v>1630</v>
      </c>
      <c r="Z71" s="33">
        <f>IF(F11&lt;15.01,Z65,IF(F11&lt;25.01,AA65,IF(F11&lt;35.01,AB65,IF(F11&lt;45.01,AC65,IF(F11&gt;=45.01,AD65)))))</f>
        <v>400</v>
      </c>
      <c r="AA71" s="33">
        <f>IF(F11&lt;25.01,AA59,IF(F11&lt;35.01,AB59,IF(F11&lt;45.01,AC59,IF(F11&gt;=45.01,AD59))))</f>
        <v>350</v>
      </c>
    </row>
    <row r="72" spans="25:30" ht="19.5" thickBot="1">
      <c r="Y72" s="309" t="s">
        <v>1634</v>
      </c>
    </row>
    <row r="73" spans="25:30" ht="15.75" thickTop="1"/>
  </sheetData>
  <sheetProtection algorithmName="SHA-512" hashValue="o0H8pllyOpC3nPUC5F55zpqRAsMLZkyNluh3SXO9DgyhmICOZwK5Po9K4REzS8Ayt5rG2BvDd9fMxJEaoQ0HNQ==" saltValue="W36h55Km9DIAIWgXyoR5l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hyperlink ref="N23:N29" location="Matrix!A1" display="Matrix!A1"/>
    <hyperlink ref="N26" location="Matrix!A1" display="Matrix!A1"/>
    <hyperlink ref="P26" location="Matrix!A1" display="Matrix!A1"/>
    <hyperlink ref="N23:N31" location="Matrix!A1" display="Matrix!A1"/>
    <hyperlink ref="N31" location="Matrix!C18" display="Matrix!C18"/>
    <hyperlink ref="P31" location="Matrix!C18" display="Matrix!C18"/>
    <hyperlink ref="N45:N46" location="'Matrix (2)'!A1" display="'Matrix (2)'!A1"/>
    <hyperlink ref="P45:P46" location="'Matrix (2)'!A1" display="'Matrix (2)'!A1"/>
    <hyperlink ref="N47:N49" location="'Matrix (2)'!Druckbereich" display="'Matrix (2)'!Druckbereich"/>
    <hyperlink ref="P47:P49" location="'Matrix (2)'!Druckbereich" display="'Matrix (2)'!Druckbereich"/>
    <hyperlink ref="N51" location="'Matrix (2)'!C18" display="'Matrix (2)'!C18"/>
    <hyperlink ref="P51" location="'Matrix (2)'!C18" display="'Matrix (2)'!C18"/>
    <hyperlink ref="N23:N25" location="Matrix!A1" display="Matrix!A1"/>
    <hyperlink ref="P27:P30" location="Matrix!A1" display="Matrix!A1"/>
    <hyperlink ref="N27:N30" location="Matrix!A1" display="Matrix!A1"/>
    <hyperlink ref="P23:P25" location="Matrix!Druckbereich" display="Matrix!Druckbereich"/>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B1:O61"/>
  <sheetViews>
    <sheetView topLeftCell="A25" workbookViewId="0">
      <selection activeCell="F45" sqref="F45"/>
    </sheetView>
  </sheetViews>
  <sheetFormatPr baseColWidth="10" defaultColWidth="11.42578125" defaultRowHeight="12.75"/>
  <cols>
    <col min="1" max="2" width="3.7109375" style="390" customWidth="1"/>
    <col min="3" max="3" width="34.85546875" style="390" customWidth="1"/>
    <col min="4" max="4" width="15.28515625" style="390" customWidth="1"/>
    <col min="5" max="5" width="5.28515625" style="390" customWidth="1"/>
    <col min="6" max="6" width="14.28515625" style="390" customWidth="1"/>
    <col min="7" max="7" width="12.42578125" style="390" customWidth="1"/>
    <col min="8" max="8" width="4.85546875" style="391" customWidth="1"/>
    <col min="9" max="9" width="14.28515625" style="390" customWidth="1"/>
    <col min="10" max="10" width="24.5703125" style="390" customWidth="1"/>
    <col min="11" max="11" width="3.7109375" style="390" customWidth="1"/>
    <col min="12" max="12" width="3.5703125" style="390" customWidth="1"/>
    <col min="13" max="15" width="7.85546875" style="390" customWidth="1"/>
    <col min="16" max="16384" width="11.42578125" style="390"/>
  </cols>
  <sheetData>
    <row r="1" spans="2:15" ht="13.5" thickBot="1"/>
    <row r="2" spans="2:15" ht="46.5" customHeight="1" thickTop="1" thickBot="1">
      <c r="B2" s="387" t="str">
        <f>'Used Language'!$C$159</f>
        <v>THE "WHAT IF" TOOL</v>
      </c>
      <c r="C2" s="388"/>
      <c r="D2" s="388"/>
      <c r="E2" s="388"/>
      <c r="F2" s="388"/>
      <c r="G2" s="388"/>
      <c r="H2" s="389"/>
      <c r="I2" s="388"/>
      <c r="J2" s="388"/>
      <c r="K2" s="388"/>
      <c r="M2" s="544" t="str">
        <f>'Used Language'!C128</f>
        <v>Home</v>
      </c>
      <c r="N2" s="545"/>
      <c r="O2" s="546"/>
    </row>
    <row r="3" spans="2:15" ht="13.5" customHeight="1" thickTop="1" thickBot="1"/>
    <row r="4" spans="2:15" ht="9" customHeight="1">
      <c r="B4" s="392"/>
      <c r="C4" s="393"/>
      <c r="D4" s="393"/>
      <c r="E4" s="393"/>
      <c r="F4" s="393"/>
      <c r="G4" s="393"/>
      <c r="H4" s="394"/>
      <c r="I4" s="393"/>
      <c r="J4" s="393"/>
      <c r="K4" s="395"/>
    </row>
    <row r="5" spans="2:15" ht="28.5">
      <c r="B5" s="396"/>
      <c r="C5" s="397" t="str">
        <f>'Used Language'!$C$160</f>
        <v>IF</v>
      </c>
      <c r="D5" s="398"/>
      <c r="E5" s="398"/>
      <c r="F5" s="398"/>
      <c r="G5" s="398"/>
      <c r="H5" s="399"/>
      <c r="I5" s="398"/>
      <c r="J5" s="398"/>
      <c r="K5" s="400"/>
    </row>
    <row r="6" spans="2:15" s="385" customFormat="1" ht="15">
      <c r="B6" s="401"/>
      <c r="C6" s="402"/>
      <c r="D6" s="402"/>
      <c r="E6" s="402"/>
      <c r="F6" s="402"/>
      <c r="G6" s="402"/>
      <c r="H6" s="403"/>
      <c r="I6" s="402"/>
      <c r="J6" s="402"/>
      <c r="K6" s="404"/>
    </row>
    <row r="7" spans="2:15" s="385" customFormat="1" ht="15" customHeight="1">
      <c r="B7" s="401"/>
      <c r="C7" s="405" t="str">
        <f>'Used Language'!$C$70</f>
        <v>Average Pressure</v>
      </c>
      <c r="D7" s="406" t="str">
        <f>'Used Language'!$C$166</f>
        <v>changes</v>
      </c>
      <c r="E7" s="406" t="str">
        <f>'Used Language'!$C$164</f>
        <v>from</v>
      </c>
      <c r="F7" s="407">
        <f>Pressure!F33</f>
        <v>0</v>
      </c>
      <c r="G7" s="402" t="str">
        <f>'Used Language'!$C$169</f>
        <v>m</v>
      </c>
      <c r="H7" s="403" t="str">
        <f>'Used Language'!$C$165</f>
        <v>to</v>
      </c>
      <c r="I7" s="408"/>
      <c r="J7" s="402" t="str">
        <f>'Used Language'!$C$169</f>
        <v>m</v>
      </c>
      <c r="K7" s="404"/>
    </row>
    <row r="8" spans="2:15" s="385" customFormat="1" ht="9" customHeight="1">
      <c r="B8" s="401"/>
      <c r="C8" s="402"/>
      <c r="D8" s="402"/>
      <c r="E8" s="402"/>
      <c r="F8" s="402"/>
      <c r="G8" s="402"/>
      <c r="H8" s="403"/>
      <c r="I8" s="402"/>
      <c r="J8" s="402"/>
      <c r="K8" s="404"/>
    </row>
    <row r="9" spans="2:15" s="385" customFormat="1" ht="15">
      <c r="B9" s="401"/>
      <c r="C9" s="405" t="str">
        <f>'Used Language'!$C$157</f>
        <v>Average Supply Time</v>
      </c>
      <c r="D9" s="406" t="str">
        <f>'Used Language'!$C$166</f>
        <v>changes</v>
      </c>
      <c r="E9" s="406" t="str">
        <f>'Used Language'!$C$164</f>
        <v>from</v>
      </c>
      <c r="F9" s="407">
        <f>'Intermittent Supply'!H33</f>
        <v>24</v>
      </c>
      <c r="G9" s="402" t="str">
        <f>'Used Language'!$C$162</f>
        <v>h/day</v>
      </c>
      <c r="H9" s="403" t="str">
        <f>'Used Language'!$C$165</f>
        <v>to</v>
      </c>
      <c r="I9" s="408"/>
      <c r="J9" s="402" t="str">
        <f>'Used Language'!$C$162</f>
        <v>h/day</v>
      </c>
      <c r="K9" s="404"/>
    </row>
    <row r="10" spans="2:15" s="385" customFormat="1" ht="9" customHeight="1">
      <c r="B10" s="401"/>
      <c r="C10" s="402"/>
      <c r="D10" s="402"/>
      <c r="E10" s="402"/>
      <c r="F10" s="402"/>
      <c r="G10" s="402"/>
      <c r="H10" s="403"/>
      <c r="I10" s="402"/>
      <c r="J10" s="402"/>
      <c r="K10" s="404"/>
    </row>
    <row r="11" spans="2:15" s="385" customFormat="1" ht="15" customHeight="1">
      <c r="B11" s="401"/>
      <c r="C11" s="405" t="str">
        <f>'Used Language'!$C$158</f>
        <v>Coverage</v>
      </c>
      <c r="D11" s="406" t="str">
        <f>'Used Language'!$C$167</f>
        <v>increases</v>
      </c>
      <c r="E11" s="409" t="str">
        <f>'Used Language'!$C$164</f>
        <v>from</v>
      </c>
      <c r="F11" s="410"/>
      <c r="G11" s="402" t="s">
        <v>776</v>
      </c>
      <c r="H11" s="403" t="str">
        <f>'Used Language'!$C$165</f>
        <v>to</v>
      </c>
      <c r="I11" s="411"/>
      <c r="J11" s="402" t="s">
        <v>776</v>
      </c>
      <c r="K11" s="404"/>
    </row>
    <row r="12" spans="2:15" s="385" customFormat="1" ht="9" customHeight="1">
      <c r="B12" s="401"/>
      <c r="C12" s="402"/>
      <c r="D12" s="402"/>
      <c r="E12" s="402"/>
      <c r="F12" s="402"/>
      <c r="G12" s="402"/>
      <c r="H12" s="402"/>
      <c r="I12" s="402"/>
      <c r="J12" s="402"/>
      <c r="K12" s="404"/>
    </row>
    <row r="13" spans="2:15" s="385" customFormat="1" ht="15" customHeight="1">
      <c r="B13" s="401"/>
      <c r="C13" s="405" t="str">
        <f>'Used Language'!C200</f>
        <v>Additional volume sold to existing customers</v>
      </c>
      <c r="D13" s="406"/>
      <c r="E13" s="406"/>
      <c r="F13" s="407"/>
      <c r="G13" s="402"/>
      <c r="H13" s="403"/>
      <c r="I13" s="412"/>
      <c r="J13" s="402" t="str">
        <f>'Used Language'!C201</f>
        <v>additional m3/d</v>
      </c>
      <c r="K13" s="404"/>
    </row>
    <row r="14" spans="2:15" s="385" customFormat="1" ht="9" customHeight="1">
      <c r="B14" s="401"/>
      <c r="C14" s="402"/>
      <c r="D14" s="402"/>
      <c r="E14" s="402"/>
      <c r="F14" s="402"/>
      <c r="G14" s="402"/>
      <c r="H14" s="403"/>
      <c r="I14" s="402"/>
      <c r="J14" s="402"/>
      <c r="K14" s="404"/>
    </row>
    <row r="15" spans="2:15" s="385" customFormat="1" ht="15" customHeight="1">
      <c r="B15" s="401"/>
      <c r="C15" s="405" t="str">
        <f>'Used Language'!$C$22</f>
        <v>Physical Losses</v>
      </c>
      <c r="D15" s="406" t="str">
        <f>'Used Language'!$C$168</f>
        <v>change</v>
      </c>
      <c r="E15" s="406" t="str">
        <f>'Used Language'!$C$164</f>
        <v>from</v>
      </c>
      <c r="F15" s="384">
        <f>PIs!F25</f>
        <v>0</v>
      </c>
      <c r="G15" s="757" t="str">
        <f>'Used Language'!$C$181</f>
        <v>ILI</v>
      </c>
      <c r="H15" s="403" t="str">
        <f>'Used Language'!$C$165</f>
        <v>to</v>
      </c>
      <c r="I15" s="411"/>
      <c r="J15" s="757" t="str">
        <f>'Used Language'!$C$181</f>
        <v>ILI</v>
      </c>
      <c r="K15" s="404"/>
    </row>
    <row r="16" spans="2:15" s="385" customFormat="1" ht="9" customHeight="1">
      <c r="B16" s="401"/>
      <c r="C16" s="402"/>
      <c r="D16" s="402"/>
      <c r="E16" s="402"/>
      <c r="F16" s="402"/>
      <c r="G16" s="757"/>
      <c r="H16" s="403"/>
      <c r="I16" s="403"/>
      <c r="J16" s="757"/>
      <c r="K16" s="404"/>
    </row>
    <row r="17" spans="2:15" s="385" customFormat="1" ht="15" customHeight="1">
      <c r="B17" s="401"/>
      <c r="C17" s="405" t="str">
        <f>'Used Language'!$C$21</f>
        <v>Commercial Losses</v>
      </c>
      <c r="D17" s="406" t="str">
        <f>'Used Language'!$C$168</f>
        <v>change</v>
      </c>
      <c r="E17" s="406" t="str">
        <f>'Used Language'!$C$164</f>
        <v>from</v>
      </c>
      <c r="F17" s="384">
        <f>PIs!F39</f>
        <v>0</v>
      </c>
      <c r="G17" s="402" t="str">
        <f>'Used Language'!$C$163</f>
        <v>l/conn./d</v>
      </c>
      <c r="H17" s="403" t="str">
        <f>'Used Language'!$C$165</f>
        <v>to</v>
      </c>
      <c r="I17" s="411"/>
      <c r="J17" s="402" t="str">
        <f>'Used Language'!$C$163</f>
        <v>l/conn./d</v>
      </c>
      <c r="K17" s="404"/>
    </row>
    <row r="18" spans="2:15" ht="9" customHeight="1" thickBot="1">
      <c r="B18" s="413"/>
      <c r="C18" s="414"/>
      <c r="D18" s="414"/>
      <c r="E18" s="414"/>
      <c r="F18" s="414"/>
      <c r="G18" s="414"/>
      <c r="H18" s="415"/>
      <c r="I18" s="414"/>
      <c r="J18" s="414"/>
      <c r="K18" s="416"/>
    </row>
    <row r="19" spans="2:15" ht="13.5" thickBot="1"/>
    <row r="20" spans="2:15" ht="9" customHeight="1">
      <c r="B20" s="392"/>
      <c r="C20" s="393"/>
      <c r="D20" s="393"/>
      <c r="E20" s="393"/>
      <c r="F20" s="393"/>
      <c r="G20" s="393"/>
      <c r="H20" s="394"/>
      <c r="I20" s="393"/>
      <c r="J20" s="393"/>
      <c r="K20" s="395"/>
    </row>
    <row r="21" spans="2:15" ht="28.5">
      <c r="B21" s="396"/>
      <c r="C21" s="397" t="str">
        <f>'Used Language'!$C$161</f>
        <v>THEN</v>
      </c>
      <c r="D21" s="398"/>
      <c r="E21" s="398"/>
      <c r="F21" s="398"/>
      <c r="G21" s="398"/>
      <c r="H21" s="399"/>
      <c r="I21" s="398"/>
      <c r="J21" s="398"/>
      <c r="K21" s="400"/>
    </row>
    <row r="22" spans="2:15" s="385" customFormat="1" ht="9" customHeight="1">
      <c r="B22" s="401"/>
      <c r="C22" s="402"/>
      <c r="D22" s="402"/>
      <c r="E22" s="402"/>
      <c r="F22" s="402"/>
      <c r="G22" s="402"/>
      <c r="H22" s="403"/>
      <c r="I22" s="402"/>
      <c r="J22" s="402"/>
      <c r="K22" s="404"/>
    </row>
    <row r="23" spans="2:15" s="385" customFormat="1" ht="15" customHeight="1">
      <c r="B23" s="401"/>
      <c r="C23" s="605" t="str">
        <f>'Used Language'!$C$67</f>
        <v>Number of Connections</v>
      </c>
      <c r="D23" s="754"/>
      <c r="E23" s="402"/>
      <c r="F23" s="402"/>
      <c r="G23" s="402"/>
      <c r="H23" s="403"/>
      <c r="I23" s="402"/>
      <c r="J23" s="402"/>
      <c r="K23" s="404"/>
    </row>
    <row r="24" spans="2:15" s="385" customFormat="1" ht="15" customHeight="1">
      <c r="B24" s="401"/>
      <c r="C24" s="755" t="str">
        <f>'Used Language'!$C$172</f>
        <v xml:space="preserve">will increase approximately </v>
      </c>
      <c r="D24" s="756"/>
      <c r="E24" s="402" t="str">
        <f>'Used Language'!$C$164</f>
        <v>from</v>
      </c>
      <c r="F24" s="417">
        <f>Network!H30</f>
        <v>0</v>
      </c>
      <c r="G24" s="402"/>
      <c r="H24" s="403" t="str">
        <f>'Used Language'!$C$165</f>
        <v>to</v>
      </c>
      <c r="I24" s="417">
        <f>IF(F$11=0,F24,F24/F$11*I$11)</f>
        <v>0</v>
      </c>
      <c r="J24" s="402"/>
      <c r="K24" s="404"/>
    </row>
    <row r="25" spans="2:15" s="385" customFormat="1" ht="9" customHeight="1">
      <c r="B25" s="401"/>
      <c r="C25" s="402"/>
      <c r="D25" s="402"/>
      <c r="E25" s="402"/>
      <c r="F25" s="402"/>
      <c r="G25" s="402"/>
      <c r="H25" s="403"/>
      <c r="I25" s="402"/>
      <c r="J25" s="402"/>
      <c r="K25" s="404"/>
    </row>
    <row r="26" spans="2:15" s="385" customFormat="1" ht="15" customHeight="1">
      <c r="B26" s="401"/>
      <c r="C26" s="605" t="str">
        <f>'Used Language'!$C$174</f>
        <v>Length of mains</v>
      </c>
      <c r="D26" s="754"/>
      <c r="E26" s="402"/>
      <c r="F26" s="402"/>
      <c r="G26" s="402"/>
      <c r="H26" s="403"/>
      <c r="I26" s="402"/>
      <c r="J26" s="402"/>
      <c r="K26" s="404"/>
    </row>
    <row r="27" spans="2:15" s="385" customFormat="1" ht="15" customHeight="1">
      <c r="B27" s="401"/>
      <c r="C27" s="755" t="str">
        <f>'Used Language'!$C$172</f>
        <v xml:space="preserve">will increase approximately </v>
      </c>
      <c r="D27" s="756"/>
      <c r="E27" s="402" t="str">
        <f>'Used Language'!$C$164</f>
        <v>from</v>
      </c>
      <c r="F27" s="417">
        <f>Network!D37</f>
        <v>0</v>
      </c>
      <c r="G27" s="402" t="str">
        <f>'Used Language'!$C$170</f>
        <v>km</v>
      </c>
      <c r="H27" s="403" t="str">
        <f>'Used Language'!$C$165</f>
        <v>to</v>
      </c>
      <c r="I27" s="417">
        <f>IF(F$11=0,F27,F27/F$11*I$11)</f>
        <v>0</v>
      </c>
      <c r="J27" s="402" t="str">
        <f>'Used Language'!$C$170</f>
        <v>km</v>
      </c>
      <c r="K27" s="404"/>
    </row>
    <row r="28" spans="2:15" s="385" customFormat="1" ht="9" customHeight="1">
      <c r="B28" s="401"/>
      <c r="C28" s="402"/>
      <c r="D28" s="402"/>
      <c r="E28" s="402"/>
      <c r="F28" s="402"/>
      <c r="G28" s="402"/>
      <c r="H28" s="403"/>
      <c r="I28" s="402"/>
      <c r="J28" s="402"/>
      <c r="K28" s="404"/>
    </row>
    <row r="29" spans="2:15" s="385" customFormat="1" ht="15" customHeight="1">
      <c r="B29" s="401"/>
      <c r="C29" s="605" t="str">
        <f>'Used Language'!$C$11</f>
        <v>Billed Consumption</v>
      </c>
      <c r="D29" s="754"/>
      <c r="E29" s="402"/>
      <c r="F29" s="402"/>
      <c r="G29" s="402"/>
      <c r="H29" s="403"/>
      <c r="I29" s="402"/>
      <c r="J29" s="402"/>
      <c r="K29" s="404"/>
    </row>
    <row r="30" spans="2:15" s="385" customFormat="1" ht="15" customHeight="1">
      <c r="B30" s="401"/>
      <c r="C30" s="755" t="str">
        <f>'Used Language'!$C$173</f>
        <v>will change approximately</v>
      </c>
      <c r="D30" s="756"/>
      <c r="E30" s="402" t="str">
        <f>'Used Language'!$C$164</f>
        <v>from</v>
      </c>
      <c r="F30" s="417">
        <f>'Water Balance m3day'!T8</f>
        <v>0</v>
      </c>
      <c r="G30" s="402" t="str">
        <f>'Used Language'!$C$31</f>
        <v>m3/day</v>
      </c>
      <c r="H30" s="403" t="str">
        <f>'Used Language'!$C$165</f>
        <v>to</v>
      </c>
      <c r="I30" s="417">
        <f>(IF(F11=0,F30+F47-I47,F30/F24*I24+(F47-I47)))+I13</f>
        <v>0</v>
      </c>
      <c r="J30" s="402" t="str">
        <f>'Used Language'!$C$31</f>
        <v>m3/day</v>
      </c>
      <c r="K30" s="404"/>
      <c r="M30" s="386"/>
    </row>
    <row r="31" spans="2:15" s="385" customFormat="1" ht="9" customHeight="1">
      <c r="B31" s="401"/>
      <c r="C31" s="402"/>
      <c r="D31" s="402"/>
      <c r="E31" s="402"/>
      <c r="F31" s="402"/>
      <c r="G31" s="402"/>
      <c r="H31" s="403"/>
      <c r="I31" s="402"/>
      <c r="J31" s="402"/>
      <c r="K31" s="404"/>
      <c r="O31" s="386"/>
    </row>
    <row r="32" spans="2:15" s="385" customFormat="1" ht="15" customHeight="1">
      <c r="B32" s="401"/>
      <c r="C32" s="605" t="str">
        <f>'Used Language'!$C$10</f>
        <v>System Input Volume</v>
      </c>
      <c r="D32" s="754"/>
      <c r="E32" s="402"/>
      <c r="F32" s="402"/>
      <c r="G32" s="402"/>
      <c r="H32" s="403"/>
      <c r="I32" s="402"/>
      <c r="J32" s="402"/>
      <c r="K32" s="404"/>
    </row>
    <row r="33" spans="2:13" s="385" customFormat="1" ht="15" customHeight="1">
      <c r="B33" s="401"/>
      <c r="C33" s="755" t="str">
        <f>'Used Language'!$C$182</f>
        <v>will change approximately</v>
      </c>
      <c r="D33" s="756"/>
      <c r="E33" s="402" t="str">
        <f>'Used Language'!$C$164</f>
        <v>from</v>
      </c>
      <c r="F33" s="417">
        <f>'Water Balance m3day'!B19</f>
        <v>0</v>
      </c>
      <c r="G33" s="402" t="str">
        <f>'Used Language'!$C$31</f>
        <v>m3/day</v>
      </c>
      <c r="H33" s="403" t="str">
        <f>'Used Language'!$C$165</f>
        <v>to</v>
      </c>
      <c r="I33" s="417">
        <f>I30+I36</f>
        <v>0</v>
      </c>
      <c r="J33" s="402" t="str">
        <f>'Used Language'!$C$31</f>
        <v>m3/day</v>
      </c>
      <c r="K33" s="404"/>
    </row>
    <row r="34" spans="2:13" s="385" customFormat="1" ht="9" customHeight="1">
      <c r="B34" s="401"/>
      <c r="C34" s="402"/>
      <c r="D34" s="402"/>
      <c r="E34" s="402"/>
      <c r="F34" s="402"/>
      <c r="G34" s="402"/>
      <c r="H34" s="403"/>
      <c r="I34" s="402"/>
      <c r="J34" s="402"/>
      <c r="K34" s="404"/>
      <c r="M34" s="386"/>
    </row>
    <row r="35" spans="2:13" s="385" customFormat="1" ht="15" customHeight="1">
      <c r="B35" s="401"/>
      <c r="C35" s="605" t="str">
        <f>'Used Language'!$C$29</f>
        <v>Non-Revenue Water</v>
      </c>
      <c r="D35" s="754"/>
      <c r="E35" s="402"/>
      <c r="F35" s="402"/>
      <c r="G35" s="402"/>
      <c r="H35" s="403"/>
      <c r="I35" s="402"/>
      <c r="J35" s="402"/>
      <c r="K35" s="404"/>
    </row>
    <row r="36" spans="2:13" s="385" customFormat="1" ht="15" customHeight="1">
      <c r="B36" s="401"/>
      <c r="C36" s="755" t="str">
        <f>'Used Language'!$C$182</f>
        <v>will change approximately</v>
      </c>
      <c r="D36" s="756"/>
      <c r="E36" s="402" t="str">
        <f>'Used Language'!$C$164</f>
        <v>from</v>
      </c>
      <c r="F36" s="417">
        <f>'Water Balance m3day'!AY24</f>
        <v>0</v>
      </c>
      <c r="G36" s="402" t="str">
        <f>'Used Language'!$C$31</f>
        <v>m3/day</v>
      </c>
      <c r="H36" s="403" t="str">
        <f>'Used Language'!$C$165</f>
        <v>to</v>
      </c>
      <c r="I36" s="417">
        <f>IF(F11="",I41+I47+'Water Balance m3day'!T16,I41+I47+'Water Balance m3day'!T16/F11*I11)</f>
        <v>0</v>
      </c>
      <c r="J36" s="402" t="str">
        <f>'Used Language'!$C$31</f>
        <v>m3/day</v>
      </c>
      <c r="K36" s="404"/>
      <c r="M36" s="386"/>
    </row>
    <row r="37" spans="2:13" s="385" customFormat="1" ht="9" customHeight="1">
      <c r="B37" s="401"/>
      <c r="C37" s="402"/>
      <c r="D37" s="402"/>
      <c r="E37" s="402"/>
      <c r="F37" s="402"/>
      <c r="G37" s="402"/>
      <c r="H37" s="402"/>
      <c r="I37" s="402"/>
      <c r="J37" s="402"/>
      <c r="K37" s="404"/>
    </row>
    <row r="38" spans="2:13" s="385" customFormat="1" ht="15" customHeight="1">
      <c r="B38" s="401"/>
      <c r="C38" s="402"/>
      <c r="D38" s="402"/>
      <c r="E38" s="402" t="str">
        <f>'Used Language'!$C$164</f>
        <v>from</v>
      </c>
      <c r="F38" s="417">
        <f>PIs!F51</f>
        <v>0</v>
      </c>
      <c r="G38" s="757" t="str">
        <f>'Used Language'!$C$171</f>
        <v>l/conn./d (w.s.p.)</v>
      </c>
      <c r="H38" s="403" t="str">
        <f>'Used Language'!$C$165</f>
        <v>to</v>
      </c>
      <c r="I38" s="417">
        <f>IF(AND(I9&gt;0,I24&gt;0),I36/I9*24/I24*1000,0)</f>
        <v>0</v>
      </c>
      <c r="J38" s="757" t="str">
        <f>'Used Language'!$C$171</f>
        <v>l/conn./d (w.s.p.)</v>
      </c>
      <c r="K38" s="404"/>
    </row>
    <row r="39" spans="2:13" s="385" customFormat="1" ht="9" customHeight="1">
      <c r="B39" s="401"/>
      <c r="C39" s="402"/>
      <c r="D39" s="402"/>
      <c r="E39" s="402"/>
      <c r="F39" s="402"/>
      <c r="G39" s="757"/>
      <c r="H39" s="403"/>
      <c r="I39" s="402"/>
      <c r="J39" s="757"/>
      <c r="K39" s="404"/>
    </row>
    <row r="40" spans="2:13" s="385" customFormat="1" ht="15" customHeight="1">
      <c r="B40" s="401"/>
      <c r="C40" s="605" t="str">
        <f>'Used Language'!$C$22</f>
        <v>Physical Losses</v>
      </c>
      <c r="D40" s="754"/>
      <c r="E40" s="402"/>
      <c r="F40" s="402"/>
      <c r="G40" s="402"/>
      <c r="H40" s="403"/>
      <c r="I40" s="402"/>
      <c r="J40" s="402"/>
      <c r="K40" s="404"/>
    </row>
    <row r="41" spans="2:13" s="385" customFormat="1" ht="15" customHeight="1">
      <c r="B41" s="401"/>
      <c r="C41" s="755" t="str">
        <f>'Used Language'!$C$173</f>
        <v>will change approximately</v>
      </c>
      <c r="D41" s="756"/>
      <c r="E41" s="402" t="str">
        <f>'Used Language'!$C$164</f>
        <v>from</v>
      </c>
      <c r="F41" s="417">
        <f>'Water Balance m3day'!T34</f>
        <v>0</v>
      </c>
      <c r="G41" s="402" t="str">
        <f>'Used Language'!$C$31</f>
        <v>m3/day</v>
      </c>
      <c r="H41" s="403" t="str">
        <f>'Used Language'!$C$165</f>
        <v>to</v>
      </c>
      <c r="I41" s="417">
        <f>(I27*18+I24*0.8+Network!H39*25)*I7/1000/24*I9*I15</f>
        <v>0</v>
      </c>
      <c r="J41" s="402" t="str">
        <f>'Used Language'!$C$31</f>
        <v>m3/day</v>
      </c>
      <c r="K41" s="404"/>
    </row>
    <row r="42" spans="2:13" s="385" customFormat="1" ht="9" customHeight="1">
      <c r="B42" s="401"/>
      <c r="C42" s="402"/>
      <c r="D42" s="402"/>
      <c r="E42" s="402"/>
      <c r="F42" s="402"/>
      <c r="G42" s="402"/>
      <c r="H42" s="403"/>
      <c r="I42" s="402"/>
      <c r="J42" s="402"/>
      <c r="K42" s="404"/>
    </row>
    <row r="43" spans="2:13" s="385" customFormat="1" ht="15" customHeight="1">
      <c r="B43" s="401"/>
      <c r="C43" s="605" t="str">
        <f>'Used Language'!$C$202</f>
        <v>Annual Production and Distribution Cost</v>
      </c>
      <c r="D43" s="754"/>
      <c r="E43" s="402"/>
      <c r="F43" s="402"/>
      <c r="G43" s="402"/>
      <c r="H43" s="403"/>
      <c r="I43" s="402"/>
      <c r="J43" s="402"/>
      <c r="K43" s="404"/>
    </row>
    <row r="44" spans="2:13" s="385" customFormat="1" ht="15" customHeight="1">
      <c r="B44" s="401"/>
      <c r="C44" s="755" t="str">
        <f>'Used Language'!$C$173</f>
        <v>will change approximately</v>
      </c>
      <c r="D44" s="756"/>
      <c r="E44" s="402" t="str">
        <f>'Used Language'!$C$164</f>
        <v>from</v>
      </c>
      <c r="F44" s="417">
        <f>F33*365*'Financial Data'!G8</f>
        <v>0</v>
      </c>
      <c r="G44" s="418">
        <f>'Financial Data'!K6</f>
        <v>0</v>
      </c>
      <c r="H44" s="403" t="str">
        <f>'Used Language'!$C$165</f>
        <v>to</v>
      </c>
      <c r="I44" s="417">
        <f>I33*365*'Financial Data'!G8</f>
        <v>0</v>
      </c>
      <c r="J44" s="436">
        <f>'Financial Data'!K6</f>
        <v>0</v>
      </c>
      <c r="K44" s="404"/>
    </row>
    <row r="45" spans="2:13" s="385" customFormat="1" ht="9" customHeight="1">
      <c r="B45" s="401"/>
      <c r="C45" s="402"/>
      <c r="D45" s="402"/>
      <c r="E45" s="402"/>
      <c r="F45" s="402"/>
      <c r="G45" s="402"/>
      <c r="H45" s="403"/>
      <c r="I45" s="402"/>
      <c r="J45" s="402"/>
      <c r="K45" s="404"/>
    </row>
    <row r="46" spans="2:13" s="385" customFormat="1" ht="15" customHeight="1">
      <c r="B46" s="401"/>
      <c r="C46" s="605" t="str">
        <f>'Used Language'!$C$21</f>
        <v>Commercial Losses</v>
      </c>
      <c r="D46" s="754"/>
      <c r="E46" s="402"/>
      <c r="F46" s="402"/>
      <c r="G46" s="402"/>
      <c r="H46" s="403"/>
      <c r="I46" s="402"/>
      <c r="J46" s="402"/>
      <c r="K46" s="404"/>
    </row>
    <row r="47" spans="2:13" s="385" customFormat="1" ht="15" customHeight="1">
      <c r="B47" s="401"/>
      <c r="C47" s="755" t="str">
        <f>'Used Language'!$C$173</f>
        <v>will change approximately</v>
      </c>
      <c r="D47" s="756"/>
      <c r="E47" s="402" t="str">
        <f>'Used Language'!$C$164</f>
        <v>from</v>
      </c>
      <c r="F47" s="417">
        <f>'Water Balance m3day'!T26</f>
        <v>0</v>
      </c>
      <c r="G47" s="402" t="str">
        <f>'Used Language'!$C$31</f>
        <v>m3/day</v>
      </c>
      <c r="H47" s="403" t="str">
        <f>'Used Language'!$C$165</f>
        <v>to</v>
      </c>
      <c r="I47" s="417">
        <f>I24*I17/1000</f>
        <v>0</v>
      </c>
      <c r="J47" s="402" t="str">
        <f>'Used Language'!$C$31</f>
        <v>m3/day</v>
      </c>
      <c r="K47" s="404"/>
      <c r="M47" s="386"/>
    </row>
    <row r="48" spans="2:13" s="385" customFormat="1" ht="9" customHeight="1">
      <c r="B48" s="401"/>
      <c r="C48" s="402"/>
      <c r="D48" s="402"/>
      <c r="E48" s="402"/>
      <c r="F48" s="402"/>
      <c r="G48" s="402"/>
      <c r="H48" s="403"/>
      <c r="I48" s="402"/>
      <c r="J48" s="402"/>
      <c r="K48" s="404"/>
    </row>
    <row r="49" spans="2:11" s="385" customFormat="1" ht="15" customHeight="1">
      <c r="B49" s="401"/>
      <c r="C49" s="605" t="str">
        <f>'Used Language'!$C$175</f>
        <v>Annual Revenues</v>
      </c>
      <c r="D49" s="754"/>
      <c r="E49" s="402"/>
      <c r="F49" s="402"/>
      <c r="G49" s="402"/>
      <c r="H49" s="403"/>
      <c r="I49" s="402"/>
      <c r="J49" s="402"/>
      <c r="K49" s="404"/>
    </row>
    <row r="50" spans="2:11" s="385" customFormat="1" ht="15" customHeight="1">
      <c r="B50" s="401"/>
      <c r="C50" s="755" t="str">
        <f>'Used Language'!$C$173</f>
        <v>will change approximately</v>
      </c>
      <c r="D50" s="756"/>
      <c r="E50" s="402" t="str">
        <f>'Used Language'!$C$164</f>
        <v>from</v>
      </c>
      <c r="F50" s="417">
        <f>F30*'Financial Data'!G6*365</f>
        <v>0</v>
      </c>
      <c r="G50" s="418">
        <f>'Financial Data'!K6</f>
        <v>0</v>
      </c>
      <c r="H50" s="403" t="str">
        <f>'Used Language'!$C$165</f>
        <v>to</v>
      </c>
      <c r="I50" s="417">
        <f>I30*'Financial Data'!G6*365</f>
        <v>0</v>
      </c>
      <c r="J50" s="418">
        <f>'Financial Data'!K6</f>
        <v>0</v>
      </c>
      <c r="K50" s="404"/>
    </row>
    <row r="51" spans="2:11" s="385" customFormat="1" ht="9" customHeight="1">
      <c r="B51" s="401"/>
      <c r="C51" s="402"/>
      <c r="D51" s="402"/>
      <c r="E51" s="402"/>
      <c r="F51" s="402"/>
      <c r="G51" s="402"/>
      <c r="H51" s="403"/>
      <c r="I51" s="402"/>
      <c r="J51" s="402"/>
      <c r="K51" s="404"/>
    </row>
    <row r="52" spans="2:11" s="385" customFormat="1" ht="15" customHeight="1">
      <c r="B52" s="401"/>
      <c r="C52" s="605" t="str">
        <f>'Used Language'!$C$176</f>
        <v>Annual operating cost</v>
      </c>
      <c r="D52" s="754"/>
      <c r="E52" s="402"/>
      <c r="F52" s="402"/>
      <c r="G52" s="402"/>
      <c r="H52" s="403"/>
      <c r="I52" s="402"/>
      <c r="J52" s="402"/>
      <c r="K52" s="404"/>
    </row>
    <row r="53" spans="2:11" s="385" customFormat="1" ht="15" customHeight="1">
      <c r="B53" s="401"/>
      <c r="C53" s="755" t="str">
        <f>'Used Language'!$C$173</f>
        <v>will change approximately</v>
      </c>
      <c r="D53" s="756"/>
      <c r="E53" s="402" t="str">
        <f>'Used Language'!$C$164</f>
        <v>from</v>
      </c>
      <c r="F53" s="417">
        <f>'Financial Data'!G35</f>
        <v>0</v>
      </c>
      <c r="G53" s="418">
        <f>G50</f>
        <v>0</v>
      </c>
      <c r="H53" s="403" t="str">
        <f>'Used Language'!$C$165</f>
        <v>to</v>
      </c>
      <c r="I53" s="417">
        <f>IF(OR(F53=0,I33=0),0,(I33-F33)*'Financial Data'!G8*365+F53)</f>
        <v>0</v>
      </c>
      <c r="J53" s="418">
        <f>J50</f>
        <v>0</v>
      </c>
      <c r="K53" s="404"/>
    </row>
    <row r="54" spans="2:11" s="385" customFormat="1" ht="9" customHeight="1">
      <c r="B54" s="401"/>
      <c r="C54" s="402"/>
      <c r="D54" s="402"/>
      <c r="E54" s="402"/>
      <c r="F54" s="402"/>
      <c r="G54" s="402"/>
      <c r="H54" s="403"/>
      <c r="I54" s="402"/>
      <c r="J54" s="402"/>
      <c r="K54" s="404"/>
    </row>
    <row r="55" spans="2:11" s="385" customFormat="1" ht="15" customHeight="1">
      <c r="B55" s="401"/>
      <c r="C55" s="605" t="str">
        <f>'Used Language'!$C$177</f>
        <v>The volume of NRW</v>
      </c>
      <c r="D55" s="754"/>
      <c r="E55" s="402"/>
      <c r="F55" s="402"/>
      <c r="G55" s="402"/>
      <c r="H55" s="403"/>
      <c r="I55" s="402"/>
      <c r="J55" s="402"/>
      <c r="K55" s="404"/>
    </row>
    <row r="56" spans="2:11" s="385" customFormat="1" ht="15" customHeight="1">
      <c r="B56" s="401"/>
      <c r="C56" s="755" t="str">
        <f>'Used Language'!$C$182</f>
        <v>will change approximately</v>
      </c>
      <c r="D56" s="756"/>
      <c r="E56" s="402" t="str">
        <f>'Used Language'!$C$164</f>
        <v>from</v>
      </c>
      <c r="F56" s="417">
        <f>PIs!F47*100</f>
        <v>0</v>
      </c>
      <c r="G56" s="402" t="s">
        <v>776</v>
      </c>
      <c r="H56" s="403" t="str">
        <f>'Used Language'!$C$165</f>
        <v>to</v>
      </c>
      <c r="I56" s="417">
        <f>IF(I33=0,0,I36/I33*100)</f>
        <v>0</v>
      </c>
      <c r="J56" s="757" t="str">
        <f>'Used Language'!$C$179</f>
        <v>% of System Input Volume</v>
      </c>
      <c r="K56" s="404"/>
    </row>
    <row r="57" spans="2:11" s="385" customFormat="1" ht="9" customHeight="1">
      <c r="B57" s="401"/>
      <c r="C57" s="402"/>
      <c r="D57" s="402"/>
      <c r="E57" s="402"/>
      <c r="F57" s="402"/>
      <c r="G57" s="402"/>
      <c r="H57" s="403"/>
      <c r="I57" s="402"/>
      <c r="J57" s="757"/>
      <c r="K57" s="404"/>
    </row>
    <row r="58" spans="2:11" s="385" customFormat="1" ht="15" customHeight="1">
      <c r="B58" s="401"/>
      <c r="C58" s="605" t="str">
        <f>'Used Language'!$C$178</f>
        <v>The value of NRW</v>
      </c>
      <c r="D58" s="754"/>
      <c r="E58" s="402"/>
      <c r="F58" s="402"/>
      <c r="G58" s="402"/>
      <c r="H58" s="403"/>
      <c r="I58" s="402"/>
      <c r="J58" s="402"/>
      <c r="K58" s="404"/>
    </row>
    <row r="59" spans="2:11" s="385" customFormat="1" ht="15" customHeight="1">
      <c r="B59" s="401"/>
      <c r="C59" s="755" t="str">
        <f>'Used Language'!$C$182</f>
        <v>will change approximately</v>
      </c>
      <c r="D59" s="756"/>
      <c r="E59" s="402" t="str">
        <f>'Used Language'!$C$164</f>
        <v>from</v>
      </c>
      <c r="F59" s="417">
        <f>PIs!F49*100</f>
        <v>0</v>
      </c>
      <c r="G59" s="402" t="s">
        <v>776</v>
      </c>
      <c r="H59" s="403" t="str">
        <f>'Used Language'!$C$165</f>
        <v>to</v>
      </c>
      <c r="I59" s="417">
        <f>IF(I53=0,0,(I41*365*'Financial Data'!G8+I47*365*'Financial Data'!G6+'Financial Data'!G13+'Financial Data'!G15)/I53*100)</f>
        <v>0</v>
      </c>
      <c r="J59" s="757" t="str">
        <f>'Used Language'!$C$180</f>
        <v>% of Total Annual Operating Cost</v>
      </c>
      <c r="K59" s="404"/>
    </row>
    <row r="60" spans="2:11" s="385" customFormat="1" ht="15" customHeight="1">
      <c r="B60" s="401"/>
      <c r="C60" s="402"/>
      <c r="D60" s="402"/>
      <c r="E60" s="402"/>
      <c r="F60" s="402"/>
      <c r="G60" s="402"/>
      <c r="H60" s="402"/>
      <c r="I60" s="402"/>
      <c r="J60" s="757"/>
      <c r="K60" s="404"/>
    </row>
    <row r="61" spans="2:11" s="385" customFormat="1" ht="9" customHeight="1" thickBot="1">
      <c r="B61" s="419"/>
      <c r="C61" s="420"/>
      <c r="D61" s="420"/>
      <c r="E61" s="420"/>
      <c r="F61" s="420"/>
      <c r="G61" s="420"/>
      <c r="H61" s="421"/>
      <c r="I61" s="420"/>
      <c r="J61" s="420"/>
      <c r="K61" s="422"/>
    </row>
  </sheetData>
  <sheetProtection algorithmName="SHA-512" hashValue="XcvUJI5krudiYYg+l+6Kfxda9G4hla6X4RP6/L6Jz9HsAq1i9GfA9//2/D2SGIyDvAKECoZ341ciAPUBLz7htQ==" saltValue="ef1ME8LAfNt0dJqWsOarIg=="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Q45"/>
  <sheetViews>
    <sheetView showZeros="0" workbookViewId="0">
      <pane xSplit="3" ySplit="1" topLeftCell="D2" activePane="bottomRight" state="frozen"/>
      <selection pane="topRight" activeCell="D1" sqref="D1"/>
      <selection pane="bottomLeft" activeCell="A2" sqref="A2"/>
      <selection pane="bottomRight" activeCell="O2" sqref="O2:P3"/>
    </sheetView>
  </sheetViews>
  <sheetFormatPr baseColWidth="10" defaultColWidth="11.42578125" defaultRowHeight="15"/>
  <cols>
    <col min="1" max="1" width="45.140625" style="359" customWidth="1"/>
    <col min="2" max="2" width="7.42578125" style="359" customWidth="1"/>
    <col min="3" max="3" width="11.28515625" style="35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Click the button to copy "Present" to this column</v>
      </c>
      <c r="E1" s="329" t="str">
        <f>D1</f>
        <v>Click the button to copy "Present" to this column</v>
      </c>
      <c r="F1" s="329" t="str">
        <f t="shared" ref="F1:M1" si="0">E1</f>
        <v>Click the button to copy "Present" to this column</v>
      </c>
      <c r="G1" s="329" t="str">
        <f t="shared" si="0"/>
        <v>Click the button to copy "Present" to this column</v>
      </c>
      <c r="H1" s="329" t="str">
        <f t="shared" si="0"/>
        <v>Click the button to copy "Present" to this column</v>
      </c>
      <c r="I1" s="329" t="str">
        <f t="shared" si="0"/>
        <v>Click the button to copy "Present" to this column</v>
      </c>
      <c r="J1" s="329" t="str">
        <f t="shared" si="0"/>
        <v>Click the button to copy "Present" to this column</v>
      </c>
      <c r="K1" s="329" t="str">
        <f t="shared" si="0"/>
        <v>Click the button to copy "Present" to this column</v>
      </c>
      <c r="L1" s="329" t="str">
        <f t="shared" si="0"/>
        <v>Click the button to copy "Present" to this column</v>
      </c>
      <c r="M1" s="329" t="str">
        <f t="shared" si="0"/>
        <v>Click the button to 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77" t="s">
        <v>1607</v>
      </c>
      <c r="P2" s="577"/>
      <c r="Q2" s="330"/>
    </row>
    <row r="3" spans="1:17" ht="15" customHeight="1">
      <c r="A3" s="336" t="str">
        <f>'Water Balance m3day'!B18</f>
        <v>System Input Volume</v>
      </c>
      <c r="B3" s="336" t="str">
        <f>'Water Balance m3day'!G19</f>
        <v>m3/day</v>
      </c>
      <c r="C3" s="337">
        <f>'Water Balance m3day'!B19</f>
        <v>0</v>
      </c>
      <c r="D3" s="338"/>
      <c r="E3" s="339"/>
      <c r="F3" s="338"/>
      <c r="G3" s="339"/>
      <c r="H3" s="338"/>
      <c r="I3" s="339"/>
      <c r="J3" s="338"/>
      <c r="K3" s="339"/>
      <c r="L3" s="338"/>
      <c r="M3" s="339"/>
      <c r="O3" s="580"/>
      <c r="P3" s="580"/>
    </row>
    <row r="4" spans="1:17" ht="15" customHeight="1">
      <c r="A4" s="336" t="str">
        <f>'Water Balance m3day'!K9</f>
        <v>Authorized Consumption</v>
      </c>
      <c r="B4" s="336" t="str">
        <f>$B$3</f>
        <v>m3/day</v>
      </c>
      <c r="C4" s="337">
        <f>'Water Balance m3day'!K12</f>
        <v>0</v>
      </c>
      <c r="D4" s="338"/>
      <c r="E4" s="339"/>
      <c r="F4" s="338"/>
      <c r="G4" s="339"/>
      <c r="H4" s="338"/>
      <c r="I4" s="339"/>
      <c r="J4" s="338"/>
      <c r="K4" s="339"/>
      <c r="L4" s="338"/>
      <c r="M4" s="339"/>
    </row>
    <row r="5" spans="1:17" ht="15" customHeight="1">
      <c r="A5" s="336" t="str">
        <f>'Water Balance m3day'!K28</f>
        <v>Water Losses</v>
      </c>
      <c r="B5" s="336" t="str">
        <f>$B$3</f>
        <v>m3/day</v>
      </c>
      <c r="C5" s="337">
        <f>'Water Balance m3day'!K29</f>
        <v>0</v>
      </c>
      <c r="D5" s="338"/>
      <c r="E5" s="339"/>
      <c r="F5" s="338"/>
      <c r="G5" s="339"/>
      <c r="H5" s="338"/>
      <c r="I5" s="339"/>
      <c r="J5" s="338"/>
      <c r="K5" s="339"/>
      <c r="L5" s="338"/>
      <c r="M5" s="339"/>
    </row>
    <row r="6" spans="1:17" ht="15" customHeight="1">
      <c r="A6" s="336"/>
      <c r="B6" s="336"/>
      <c r="C6" s="336"/>
      <c r="D6" s="338"/>
      <c r="E6" s="339"/>
      <c r="F6" s="338"/>
      <c r="G6" s="339"/>
      <c r="H6" s="338"/>
      <c r="I6" s="339"/>
      <c r="J6" s="338"/>
      <c r="K6" s="339"/>
      <c r="L6" s="338"/>
      <c r="M6" s="339"/>
    </row>
    <row r="7" spans="1:17" ht="15" customHeight="1">
      <c r="A7" s="336" t="str">
        <f>'Water Balance m3day'!T3</f>
        <v>Billed Authorized Consumption</v>
      </c>
      <c r="B7" s="336" t="str">
        <f>$B$3</f>
        <v>m3/day</v>
      </c>
      <c r="C7" s="337">
        <f>'Water Balance m3day'!T8</f>
        <v>0</v>
      </c>
      <c r="D7" s="338"/>
      <c r="E7" s="339"/>
      <c r="F7" s="338"/>
      <c r="G7" s="339"/>
      <c r="H7" s="338"/>
      <c r="I7" s="339"/>
      <c r="J7" s="338"/>
      <c r="K7" s="339"/>
      <c r="L7" s="338"/>
      <c r="M7" s="339"/>
    </row>
    <row r="8" spans="1:17" ht="15" customHeight="1">
      <c r="A8" s="336" t="str">
        <f>'Water Balance m3day'!T13</f>
        <v>Unbilled Authorized Consumption</v>
      </c>
      <c r="B8" s="336" t="str">
        <f>$B7</f>
        <v>m3/day</v>
      </c>
      <c r="C8" s="337">
        <f>'Water Balance m3day'!T16</f>
        <v>0</v>
      </c>
      <c r="D8" s="338"/>
      <c r="E8" s="339"/>
      <c r="F8" s="338"/>
      <c r="G8" s="339"/>
      <c r="H8" s="338"/>
      <c r="I8" s="339"/>
      <c r="J8" s="338"/>
      <c r="K8" s="339"/>
      <c r="L8" s="338"/>
      <c r="M8" s="339"/>
    </row>
    <row r="9" spans="1:17" ht="15" customHeight="1">
      <c r="A9" s="336" t="str">
        <f>'Water Balance m3day'!T23</f>
        <v>Commercial Losses</v>
      </c>
      <c r="B9" s="336" t="str">
        <f>$B8</f>
        <v>m3/day</v>
      </c>
      <c r="C9" s="337">
        <f>'Water Balance m3day'!T26</f>
        <v>0</v>
      </c>
      <c r="D9" s="338"/>
      <c r="E9" s="339"/>
      <c r="F9" s="338"/>
      <c r="G9" s="339"/>
      <c r="H9" s="338"/>
      <c r="I9" s="339"/>
      <c r="J9" s="338"/>
      <c r="K9" s="339"/>
      <c r="L9" s="338"/>
      <c r="M9" s="339"/>
    </row>
    <row r="10" spans="1:17" ht="30">
      <c r="A10" s="336" t="str">
        <f>'Water Balance m3day'!T33</f>
        <v>Physical Losses</v>
      </c>
      <c r="B10" s="336" t="str">
        <f>$B$3</f>
        <v>m3/day</v>
      </c>
      <c r="C10" s="337">
        <f>'Water Balance m3day'!T34</f>
        <v>0</v>
      </c>
      <c r="D10" s="338"/>
      <c r="E10" s="339"/>
      <c r="F10" s="338"/>
      <c r="G10" s="339"/>
      <c r="H10" s="338"/>
      <c r="I10" s="339"/>
      <c r="J10" s="338"/>
      <c r="K10" s="339"/>
      <c r="L10" s="338"/>
      <c r="M10" s="339"/>
    </row>
    <row r="11" spans="1:17">
      <c r="A11" s="336"/>
      <c r="B11" s="336"/>
      <c r="C11" s="336"/>
      <c r="D11" s="338"/>
      <c r="E11" s="339"/>
      <c r="F11" s="338"/>
      <c r="G11" s="339"/>
      <c r="H11" s="338"/>
      <c r="I11" s="339"/>
      <c r="J11" s="338"/>
      <c r="K11" s="339"/>
      <c r="L11" s="338"/>
      <c r="M11" s="339"/>
    </row>
    <row r="12" spans="1:17" ht="30">
      <c r="A12" s="336" t="str">
        <f>'Water Balance m3day'!AC3</f>
        <v>Billed Metered Consumption</v>
      </c>
      <c r="B12" s="336" t="str">
        <f t="shared" ref="B12:B18" si="1">$B$3</f>
        <v>m3/day</v>
      </c>
      <c r="C12" s="337">
        <f>'Water Balance m3day'!AC4</f>
        <v>0</v>
      </c>
      <c r="D12" s="338"/>
      <c r="E12" s="339"/>
      <c r="F12" s="338"/>
      <c r="G12" s="339"/>
      <c r="H12" s="338"/>
      <c r="I12" s="339"/>
      <c r="J12" s="338"/>
      <c r="K12" s="339"/>
      <c r="L12" s="338"/>
      <c r="M12" s="339"/>
    </row>
    <row r="13" spans="1:17" ht="30">
      <c r="A13" s="336" t="str">
        <f>'Water Balance m3day'!AC8</f>
        <v>Billed Unmetered Consumption</v>
      </c>
      <c r="B13" s="336" t="str">
        <f t="shared" si="1"/>
        <v>m3/day</v>
      </c>
      <c r="C13" s="337">
        <f>'Water Balance m3day'!AC9</f>
        <v>0</v>
      </c>
      <c r="D13" s="338"/>
      <c r="E13" s="339"/>
      <c r="F13" s="338"/>
      <c r="G13" s="339"/>
      <c r="H13" s="338"/>
      <c r="I13" s="339"/>
      <c r="J13" s="338"/>
      <c r="K13" s="339"/>
      <c r="L13" s="338"/>
      <c r="M13" s="339"/>
    </row>
    <row r="14" spans="1:17" ht="30">
      <c r="A14" s="336" t="str">
        <f>'Water Balance m3day'!AC13</f>
        <v>Unbilled Metered Consumption</v>
      </c>
      <c r="B14" s="336" t="str">
        <f t="shared" si="1"/>
        <v>m3/day</v>
      </c>
      <c r="C14" s="337">
        <f>'Water Balance m3day'!AC14</f>
        <v>0</v>
      </c>
      <c r="D14" s="338"/>
      <c r="E14" s="339"/>
      <c r="F14" s="338"/>
      <c r="G14" s="339"/>
      <c r="H14" s="338"/>
      <c r="I14" s="339"/>
      <c r="J14" s="338"/>
      <c r="K14" s="339"/>
      <c r="L14" s="338"/>
      <c r="M14" s="339"/>
    </row>
    <row r="15" spans="1:17" ht="30">
      <c r="A15" s="336" t="str">
        <f>'Water Balance m3day'!AC18</f>
        <v>Unbilled Unmetered Consumption</v>
      </c>
      <c r="B15" s="336" t="str">
        <f t="shared" si="1"/>
        <v>m3/day</v>
      </c>
      <c r="C15" s="337">
        <f>'Water Balance m3day'!AC19</f>
        <v>0</v>
      </c>
      <c r="D15" s="338"/>
      <c r="E15" s="339"/>
      <c r="F15" s="338"/>
      <c r="G15" s="339"/>
      <c r="H15" s="338"/>
      <c r="I15" s="339"/>
      <c r="J15" s="338"/>
      <c r="K15" s="339"/>
      <c r="L15" s="338"/>
      <c r="M15" s="339"/>
    </row>
    <row r="16" spans="1:17" ht="30">
      <c r="A16" s="336" t="str">
        <f>'Water Balance m3day'!AC23</f>
        <v>Unauthorized Consumption</v>
      </c>
      <c r="B16" s="336" t="str">
        <f t="shared" si="1"/>
        <v>m3/day</v>
      </c>
      <c r="C16" s="337">
        <f>'Water Balance m3day'!AC24</f>
        <v>0</v>
      </c>
      <c r="D16" s="338"/>
      <c r="E16" s="339"/>
      <c r="F16" s="338"/>
      <c r="G16" s="339"/>
      <c r="H16" s="338"/>
      <c r="I16" s="339"/>
      <c r="J16" s="338"/>
      <c r="K16" s="339"/>
      <c r="L16" s="338"/>
      <c r="M16" s="339"/>
    </row>
    <row r="17" spans="1:13" ht="30">
      <c r="A17" s="336" t="str">
        <f>'Water Balance m3day'!AC28</f>
        <v>Customer Meter Inaccuracies and Data Handling Errors</v>
      </c>
      <c r="B17" s="336" t="str">
        <f t="shared" si="1"/>
        <v>m3/day</v>
      </c>
      <c r="C17" s="337">
        <f>'Water Balance m3day'!AC29</f>
        <v>0</v>
      </c>
      <c r="D17" s="338"/>
      <c r="E17" s="339"/>
      <c r="F17" s="338"/>
      <c r="G17" s="339"/>
      <c r="H17" s="338"/>
      <c r="I17" s="339"/>
      <c r="J17" s="338"/>
      <c r="K17" s="339"/>
      <c r="L17" s="338"/>
      <c r="M17" s="339"/>
    </row>
    <row r="18" spans="1:13" ht="30">
      <c r="A18" s="336" t="str">
        <f>'Water Balance m3day'!T33</f>
        <v>Physical Losses</v>
      </c>
      <c r="B18" s="336" t="str">
        <f t="shared" si="1"/>
        <v>m3/day</v>
      </c>
      <c r="C18" s="337">
        <f>C10</f>
        <v>0</v>
      </c>
      <c r="D18" s="338"/>
      <c r="E18" s="339"/>
      <c r="F18" s="338"/>
      <c r="G18" s="339"/>
      <c r="H18" s="338"/>
      <c r="I18" s="339"/>
      <c r="J18" s="338"/>
      <c r="K18" s="339"/>
      <c r="L18" s="338"/>
      <c r="M18" s="339"/>
    </row>
    <row r="19" spans="1:13">
      <c r="A19" s="336"/>
      <c r="B19" s="336"/>
      <c r="C19" s="336"/>
      <c r="D19" s="338"/>
      <c r="E19" s="339"/>
      <c r="F19" s="338"/>
      <c r="G19" s="339"/>
      <c r="H19" s="338"/>
      <c r="I19" s="339"/>
      <c r="J19" s="338"/>
      <c r="K19" s="339"/>
      <c r="L19" s="338"/>
      <c r="M19" s="339"/>
    </row>
    <row r="20" spans="1:13" ht="30">
      <c r="A20" s="336" t="str">
        <f>'Water Balance m3day'!AY3</f>
        <v>Revenue Water</v>
      </c>
      <c r="B20" s="336" t="str">
        <f>$B$3</f>
        <v>m3/day</v>
      </c>
      <c r="C20" s="337">
        <f>'Water Balance m3day'!AY8</f>
        <v>0</v>
      </c>
      <c r="D20" s="338"/>
      <c r="E20" s="339"/>
      <c r="F20" s="338"/>
      <c r="G20" s="339"/>
      <c r="H20" s="338"/>
      <c r="I20" s="339"/>
      <c r="J20" s="338"/>
      <c r="K20" s="339"/>
      <c r="L20" s="338"/>
      <c r="M20" s="339"/>
    </row>
    <row r="21" spans="1:13" ht="30">
      <c r="A21" s="336" t="str">
        <f>'Water Balance m3day'!AY21</f>
        <v>Non-Revenue Water</v>
      </c>
      <c r="B21" s="336" t="str">
        <f>$B$3</f>
        <v>m3/day</v>
      </c>
      <c r="C21" s="337">
        <f>'Water Balance m3day'!AY24</f>
        <v>0</v>
      </c>
      <c r="D21" s="338"/>
      <c r="E21" s="339"/>
      <c r="F21" s="338"/>
      <c r="G21" s="339"/>
      <c r="H21" s="338"/>
      <c r="I21" s="339"/>
      <c r="J21" s="338"/>
      <c r="K21" s="339"/>
      <c r="L21" s="338"/>
      <c r="M21" s="339"/>
    </row>
    <row r="22" spans="1:13">
      <c r="A22" s="336"/>
      <c r="B22" s="336"/>
      <c r="C22" s="336"/>
      <c r="D22" s="338"/>
      <c r="E22" s="339"/>
      <c r="F22" s="338"/>
      <c r="G22" s="339"/>
      <c r="H22" s="338"/>
      <c r="I22" s="339"/>
      <c r="J22" s="338"/>
      <c r="K22" s="339"/>
      <c r="L22" s="338"/>
      <c r="M22" s="339"/>
    </row>
    <row r="23" spans="1:13">
      <c r="A23" s="336" t="str">
        <f>Network!B32</f>
        <v>Pipe Length [km]</v>
      </c>
      <c r="B23" s="336"/>
      <c r="C23" s="336">
        <f>Network!D37</f>
        <v>0</v>
      </c>
      <c r="D23" s="338"/>
      <c r="E23" s="339"/>
      <c r="F23" s="338"/>
      <c r="G23" s="339"/>
      <c r="H23" s="338"/>
      <c r="I23" s="339"/>
      <c r="J23" s="338"/>
      <c r="K23" s="339"/>
      <c r="L23" s="338"/>
      <c r="M23" s="339"/>
    </row>
    <row r="24" spans="1:13">
      <c r="A24" s="336" t="str">
        <f>Network!F25</f>
        <v>Number of Connections</v>
      </c>
      <c r="B24" s="336"/>
      <c r="C24" s="337">
        <f>Network!H30</f>
        <v>0</v>
      </c>
      <c r="D24" s="338"/>
      <c r="E24" s="339"/>
      <c r="F24" s="338"/>
      <c r="G24" s="339"/>
      <c r="H24" s="338"/>
      <c r="I24" s="339"/>
      <c r="J24" s="338"/>
      <c r="K24" s="339"/>
      <c r="L24" s="338"/>
      <c r="M24" s="339"/>
    </row>
    <row r="25" spans="1:13">
      <c r="A25" s="336" t="str">
        <f>Pressure!B28</f>
        <v>Average Pressure [m]</v>
      </c>
      <c r="B25" s="336"/>
      <c r="C25" s="336">
        <f>Pressure!F33</f>
        <v>0</v>
      </c>
      <c r="D25" s="338"/>
      <c r="E25" s="339"/>
      <c r="F25" s="338"/>
      <c r="G25" s="339"/>
      <c r="H25" s="338"/>
      <c r="I25" s="339"/>
      <c r="J25" s="338"/>
      <c r="K25" s="339"/>
      <c r="L25" s="338"/>
      <c r="M25" s="339"/>
    </row>
    <row r="26" spans="1:13">
      <c r="A26" s="336" t="str">
        <f>'Intermittent Supply'!B28</f>
        <v>Average Supply Time [h/day]</v>
      </c>
      <c r="B26" s="336"/>
      <c r="C26" s="336">
        <f>'Intermittent Supply'!H33</f>
        <v>24</v>
      </c>
      <c r="D26" s="338"/>
      <c r="E26" s="339"/>
      <c r="F26" s="338"/>
      <c r="G26" s="339"/>
      <c r="H26" s="338"/>
      <c r="I26" s="339"/>
      <c r="J26" s="338"/>
      <c r="K26" s="339"/>
      <c r="L26" s="338"/>
      <c r="M26" s="339"/>
    </row>
    <row r="27" spans="1:13">
      <c r="A27" s="336"/>
      <c r="B27" s="336"/>
      <c r="C27" s="336"/>
      <c r="D27" s="338"/>
      <c r="E27" s="339"/>
      <c r="F27" s="338"/>
      <c r="G27" s="339"/>
      <c r="H27" s="338"/>
      <c r="I27" s="339"/>
      <c r="J27" s="338"/>
      <c r="K27" s="339"/>
      <c r="L27" s="338"/>
      <c r="M27" s="339"/>
    </row>
    <row r="28" spans="1:13">
      <c r="A28" s="340" t="str">
        <f>'Used Language'!C22</f>
        <v>Physical Losses</v>
      </c>
      <c r="B28" s="336"/>
      <c r="C28" s="336"/>
      <c r="D28" s="338"/>
      <c r="E28" s="339"/>
      <c r="F28" s="338"/>
      <c r="G28" s="339"/>
      <c r="H28" s="338"/>
      <c r="I28" s="339"/>
      <c r="J28" s="338"/>
      <c r="K28" s="339"/>
      <c r="L28" s="338"/>
      <c r="M28" s="339"/>
    </row>
    <row r="29" spans="1:13">
      <c r="A29" s="336" t="str">
        <f>PIs!B25</f>
        <v>Infrastructure Leakage Index (ILI)</v>
      </c>
      <c r="B29" s="336"/>
      <c r="C29" s="341">
        <f>PIs!F25</f>
        <v>0</v>
      </c>
      <c r="D29" s="338"/>
      <c r="E29" s="339"/>
      <c r="F29" s="338"/>
      <c r="G29" s="339"/>
      <c r="H29" s="338"/>
      <c r="I29" s="339"/>
      <c r="J29" s="338"/>
      <c r="K29" s="339"/>
      <c r="L29" s="338"/>
      <c r="M29" s="339"/>
    </row>
    <row r="30" spans="1:13" ht="15" customHeight="1">
      <c r="A30" s="342" t="str">
        <f>PIs!B27</f>
        <v>Liters per Connection per Day (w.s.p.)
w.s.p.: when the system is pressurized - this means the value is already corrected in the case of intermittent supply</v>
      </c>
      <c r="B30" s="342"/>
      <c r="C30" s="337">
        <f>PIs!F27</f>
        <v>0</v>
      </c>
      <c r="D30" s="338"/>
      <c r="E30" s="339"/>
      <c r="F30" s="338"/>
      <c r="G30" s="339"/>
      <c r="H30" s="338"/>
      <c r="I30" s="339"/>
      <c r="J30" s="338"/>
      <c r="K30" s="339"/>
      <c r="L30" s="338"/>
      <c r="M30" s="339"/>
    </row>
    <row r="31" spans="1:13" ht="30" customHeight="1">
      <c r="A31" s="336" t="str">
        <f>PIs!B29</f>
        <v>Liters per Connection per Day per meter Pressure (w.s.p.)</v>
      </c>
      <c r="B31" s="336"/>
      <c r="C31" s="337">
        <f>PIs!F29</f>
        <v>0</v>
      </c>
      <c r="D31" s="338"/>
      <c r="E31" s="339"/>
      <c r="F31" s="338"/>
      <c r="G31" s="339"/>
      <c r="H31" s="338"/>
      <c r="I31" s="339"/>
      <c r="J31" s="338"/>
      <c r="K31" s="339"/>
      <c r="L31" s="338"/>
      <c r="M31" s="339"/>
    </row>
    <row r="32" spans="1:13">
      <c r="A32" s="336" t="str">
        <f>PIs!B31</f>
        <v>m3/km mains per hour (w.s.p.)</v>
      </c>
      <c r="B32" s="336"/>
      <c r="C32" s="343">
        <f>PIs!F31</f>
        <v>0</v>
      </c>
      <c r="D32" s="344"/>
      <c r="E32" s="345"/>
      <c r="F32" s="344"/>
      <c r="G32" s="345"/>
      <c r="H32" s="344"/>
      <c r="I32" s="345"/>
      <c r="J32" s="344"/>
      <c r="K32" s="345"/>
      <c r="L32" s="344"/>
      <c r="M32" s="345"/>
    </row>
    <row r="33" spans="1:13">
      <c r="A33" s="336"/>
      <c r="B33" s="336"/>
      <c r="C33" s="343"/>
      <c r="D33" s="338"/>
      <c r="E33" s="339"/>
      <c r="F33" s="338"/>
      <c r="G33" s="339"/>
      <c r="H33" s="338"/>
      <c r="I33" s="339"/>
      <c r="J33" s="338"/>
      <c r="K33" s="339"/>
      <c r="L33" s="338"/>
      <c r="M33" s="339"/>
    </row>
    <row r="34" spans="1:13" s="350" customFormat="1">
      <c r="A34" s="346" t="str">
        <f>'Used Language'!C21</f>
        <v>Commercial Losses</v>
      </c>
      <c r="B34" s="347"/>
      <c r="C34" s="347"/>
      <c r="D34" s="348"/>
      <c r="E34" s="349"/>
      <c r="F34" s="348"/>
      <c r="G34" s="349"/>
      <c r="H34" s="348"/>
      <c r="I34" s="349"/>
      <c r="J34" s="348"/>
      <c r="K34" s="349"/>
      <c r="L34" s="348"/>
      <c r="M34" s="349"/>
    </row>
    <row r="35" spans="1:13" s="350" customFormat="1" ht="30.6" customHeight="1">
      <c r="A35" s="347" t="str">
        <f>PIs!B37</f>
        <v>Commercial Losses expressed in % of Authorized Consumption</v>
      </c>
      <c r="B35" s="347"/>
      <c r="C35" s="351">
        <f>PIs!F37</f>
        <v>0</v>
      </c>
      <c r="D35" s="352"/>
      <c r="E35" s="353"/>
      <c r="F35" s="352"/>
      <c r="G35" s="353"/>
      <c r="H35" s="352"/>
      <c r="I35" s="353"/>
      <c r="J35" s="352"/>
      <c r="K35" s="353"/>
      <c r="L35" s="352"/>
      <c r="M35" s="353"/>
    </row>
    <row r="36" spans="1:13" s="350" customFormat="1">
      <c r="A36" s="347" t="str">
        <f>PIs!B39</f>
        <v>liters/connection/day</v>
      </c>
      <c r="B36" s="347"/>
      <c r="C36" s="354">
        <f>PIs!F39</f>
        <v>0</v>
      </c>
      <c r="D36" s="348"/>
      <c r="E36" s="349"/>
      <c r="F36" s="348"/>
      <c r="G36" s="349"/>
      <c r="H36" s="348"/>
      <c r="I36" s="349"/>
      <c r="J36" s="348"/>
      <c r="K36" s="349"/>
      <c r="L36" s="348"/>
      <c r="M36" s="349"/>
    </row>
    <row r="37" spans="1:13" s="350" customFormat="1">
      <c r="A37" s="347" t="str">
        <f>PIs!B41</f>
        <v>liters/customer/day</v>
      </c>
      <c r="B37" s="347"/>
      <c r="C37" s="354">
        <f>PIs!F41</f>
        <v>0</v>
      </c>
      <c r="D37" s="348"/>
      <c r="E37" s="349"/>
      <c r="F37" s="348"/>
      <c r="G37" s="349"/>
      <c r="H37" s="348"/>
      <c r="I37" s="349"/>
      <c r="J37" s="348"/>
      <c r="K37" s="349"/>
      <c r="L37" s="348"/>
      <c r="M37" s="349"/>
    </row>
    <row r="38" spans="1:13" s="350" customFormat="1">
      <c r="A38" s="347"/>
      <c r="B38" s="347"/>
      <c r="C38" s="347"/>
      <c r="D38" s="348"/>
      <c r="E38" s="349"/>
      <c r="F38" s="348"/>
      <c r="G38" s="349"/>
      <c r="H38" s="348"/>
      <c r="I38" s="349"/>
      <c r="J38" s="348"/>
      <c r="K38" s="349"/>
      <c r="L38" s="348"/>
      <c r="M38" s="349"/>
    </row>
    <row r="39" spans="1:13" s="350" customFormat="1" ht="32.450000000000003" customHeight="1">
      <c r="A39" s="347" t="str">
        <f>PIs!B47</f>
        <v>Volume of Non-Revenue Water expressed in % of System Input Volume</v>
      </c>
      <c r="B39" s="347"/>
      <c r="C39" s="355">
        <f>PIs!F47</f>
        <v>0</v>
      </c>
      <c r="D39" s="352"/>
      <c r="E39" s="353"/>
      <c r="F39" s="352"/>
      <c r="G39" s="353"/>
      <c r="H39" s="352"/>
      <c r="I39" s="353"/>
      <c r="J39" s="352"/>
      <c r="K39" s="353"/>
      <c r="L39" s="352"/>
      <c r="M39" s="353"/>
    </row>
    <row r="40" spans="1:13" s="350" customFormat="1" ht="32.450000000000003" customHeight="1">
      <c r="A40" s="347" t="str">
        <f>PIs!B49</f>
        <v>Value of Non-Revenue Water expressed in % of Annual Operating Cost</v>
      </c>
      <c r="B40" s="347"/>
      <c r="C40" s="355">
        <f>PIs!F49</f>
        <v>0</v>
      </c>
      <c r="D40" s="352"/>
      <c r="E40" s="353"/>
      <c r="F40" s="352"/>
      <c r="G40" s="353"/>
      <c r="H40" s="352"/>
      <c r="I40" s="353"/>
      <c r="J40" s="352"/>
      <c r="K40" s="353"/>
      <c r="L40" s="352"/>
      <c r="M40" s="353"/>
    </row>
    <row r="41" spans="1:13" s="350" customFormat="1" ht="82.5" customHeight="1">
      <c r="A41" s="347" t="str">
        <f>PIs!B51</f>
        <v>Liters per Connection per Day (w.s.p.)
w.s.p.: when the system is pressurized - this means the value is already corrected in the case of intermittent supply</v>
      </c>
      <c r="B41" s="347"/>
      <c r="C41" s="354">
        <f>PIs!F51</f>
        <v>0</v>
      </c>
      <c r="D41" s="348"/>
      <c r="E41" s="349"/>
      <c r="F41" s="348"/>
      <c r="G41" s="349"/>
      <c r="H41" s="348"/>
      <c r="I41" s="349"/>
      <c r="J41" s="348"/>
      <c r="K41" s="349"/>
      <c r="L41" s="348"/>
      <c r="M41" s="349"/>
    </row>
    <row r="42" spans="1:13" s="357" customFormat="1">
      <c r="A42" s="356"/>
      <c r="B42" s="356"/>
      <c r="C42" s="356">
        <f>Start!O65</f>
        <v>0</v>
      </c>
      <c r="E42" s="357">
        <v>0</v>
      </c>
    </row>
    <row r="43" spans="1:13" s="350" customFormat="1">
      <c r="A43" s="358"/>
      <c r="B43" s="358"/>
      <c r="C43" s="358"/>
    </row>
    <row r="44" spans="1:13" s="350" customFormat="1">
      <c r="A44" s="358"/>
      <c r="B44" s="358"/>
      <c r="C44" s="358"/>
    </row>
    <row r="45" spans="1:13" s="350" customFormat="1">
      <c r="A45" s="358"/>
      <c r="B45" s="358"/>
      <c r="C45" s="358"/>
    </row>
  </sheetData>
  <sheetProtection algorithmName="SHA-512" hashValue="ZO2Wx2eT7dCIOXd4kc2NJuUsL2aIST2WakNnka52t8G5OeBR2DS5SZcXibdbDnyd7FjRu0mJ3cgiRc7qtUcjFQ==" saltValue="SYTOglv4s6YyDbCTyylS9g==" spinCount="100000" sheet="1" objects="1" scenarios="1"/>
  <mergeCells count="1">
    <mergeCell ref="O2:P3"/>
  </mergeCells>
  <hyperlinks>
    <hyperlink ref="O2" location="Start!A1" display="Home"/>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B1:J51"/>
  <sheetViews>
    <sheetView workbookViewId="0">
      <selection activeCell="B12" sqref="B12"/>
    </sheetView>
  </sheetViews>
  <sheetFormatPr baseColWidth="10"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58" t="str">
        <f>'Used Language'!C128</f>
        <v>Home</v>
      </c>
      <c r="E2" s="759"/>
      <c r="F2" s="760"/>
      <c r="G2" s="96"/>
      <c r="H2" s="96"/>
      <c r="I2" s="96"/>
      <c r="J2" s="96"/>
    </row>
    <row r="3" spans="2:10" ht="13.5" customHeight="1">
      <c r="D3" s="761"/>
      <c r="E3" s="762"/>
      <c r="F3" s="763"/>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4"/>
      <c r="E4" s="765"/>
      <c r="F4" s="766"/>
    </row>
    <row r="5" spans="2:10" ht="68.45" customHeight="1" thickTop="1" thickBot="1">
      <c r="B5" s="145" t="str">
        <f>'Used Language'!C134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D6" s="37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3130</v>
      </c>
    </row>
    <row r="20" spans="2:2" ht="31.5" customHeight="1">
      <c r="B20" s="324" t="s">
        <v>3131</v>
      </c>
    </row>
    <row r="21" spans="2:2" ht="31.5" customHeight="1">
      <c r="B21" s="324" t="s">
        <v>3132</v>
      </c>
    </row>
    <row r="22" spans="2:2" ht="31.5" customHeight="1">
      <c r="B22" s="324" t="s">
        <v>3133</v>
      </c>
    </row>
    <row r="23" spans="2:2" ht="31.5" customHeight="1">
      <c r="B23" s="324" t="s">
        <v>3134</v>
      </c>
    </row>
    <row r="24" spans="2:2" ht="31.5" customHeight="1">
      <c r="B24" s="324" t="s">
        <v>3135</v>
      </c>
    </row>
    <row r="25" spans="2:2" ht="31.5" customHeight="1">
      <c r="B25" s="324" t="s">
        <v>3136</v>
      </c>
    </row>
    <row r="26" spans="2:2" ht="31.5" customHeight="1">
      <c r="B26" s="324" t="s">
        <v>3137</v>
      </c>
    </row>
    <row r="27" spans="2:2" ht="31.5" customHeight="1">
      <c r="B27" s="324" t="s">
        <v>3138</v>
      </c>
    </row>
    <row r="28" spans="2:2" ht="31.5" customHeight="1">
      <c r="B28" s="324" t="s">
        <v>3139</v>
      </c>
    </row>
    <row r="29" spans="2:2" ht="31.5" customHeight="1">
      <c r="B29" s="324" t="s">
        <v>3140</v>
      </c>
    </row>
    <row r="30" spans="2:2" ht="31.5" customHeight="1">
      <c r="B30" s="145" t="s">
        <v>3141</v>
      </c>
    </row>
    <row r="31" spans="2:2" ht="31.5" customHeight="1">
      <c r="B31" s="324" t="s">
        <v>3142</v>
      </c>
    </row>
    <row r="32" spans="2:2" ht="31.5" customHeight="1">
      <c r="B32" s="324" t="s">
        <v>3143</v>
      </c>
    </row>
    <row r="33" spans="2:2" ht="31.5" customHeight="1">
      <c r="B33" s="324" t="s">
        <v>3144</v>
      </c>
    </row>
    <row r="34" spans="2:2" ht="31.5" customHeight="1">
      <c r="B34" s="324" t="s">
        <v>3145</v>
      </c>
    </row>
    <row r="35" spans="2:2" ht="33.6" customHeight="1">
      <c r="B35" s="324" t="s">
        <v>3146</v>
      </c>
    </row>
    <row r="36" spans="2:2">
      <c r="B36" s="324" t="s">
        <v>3147</v>
      </c>
    </row>
    <row r="37" spans="2:2" ht="30">
      <c r="B37" s="324" t="s">
        <v>3148</v>
      </c>
    </row>
    <row r="38" spans="2:2">
      <c r="B38" s="324" t="s">
        <v>3149</v>
      </c>
    </row>
    <row r="39" spans="2:2" ht="30">
      <c r="B39" s="324" t="s">
        <v>3150</v>
      </c>
    </row>
    <row r="40" spans="2:2" ht="49.15" customHeight="1">
      <c r="B40" s="324" t="s">
        <v>3151</v>
      </c>
    </row>
    <row r="41" spans="2:2" ht="36" customHeight="1">
      <c r="B41" s="324" t="s">
        <v>3152</v>
      </c>
    </row>
    <row r="42" spans="2:2" ht="45" customHeight="1">
      <c r="B42" s="145" t="s">
        <v>3153</v>
      </c>
    </row>
    <row r="43" spans="2:2" ht="28.15" customHeight="1">
      <c r="B43" s="324" t="s">
        <v>3154</v>
      </c>
    </row>
    <row r="44" spans="2:2" ht="42.6" customHeight="1">
      <c r="B44" s="145" t="s">
        <v>3155</v>
      </c>
    </row>
    <row r="45" spans="2:2" ht="23.45" customHeight="1">
      <c r="B45" s="324" t="s">
        <v>3156</v>
      </c>
    </row>
    <row r="46" spans="2:2" ht="21" customHeight="1">
      <c r="B46" s="145" t="s">
        <v>3157</v>
      </c>
    </row>
    <row r="47" spans="2:2" ht="25.15" customHeight="1">
      <c r="B47" s="324" t="s">
        <v>3158</v>
      </c>
    </row>
    <row r="48" spans="2:2" ht="33" customHeight="1">
      <c r="B48" s="429" t="s">
        <v>3256</v>
      </c>
    </row>
    <row r="49" spans="2:2" ht="36.6" customHeight="1">
      <c r="B49" s="145" t="s">
        <v>3257</v>
      </c>
    </row>
    <row r="50" spans="2:2" ht="22.5" customHeight="1">
      <c r="B50" s="324" t="s">
        <v>3461</v>
      </c>
    </row>
    <row r="51" spans="2:2" ht="45">
      <c r="B51" s="145" t="s">
        <v>3462</v>
      </c>
    </row>
  </sheetData>
  <sheetProtection algorithmName="SHA-512" hashValue="BNdU3fdV72nOxtK5Isr5RrY02a8+gKUpZtZ+zO1RcFaDAHou79x6qOdNvJZJ3HNdCZUiYPjKORo168iJmiJ5Lw==" saltValue="wRVsrt36SqwhQpU8L5SeMg==" spinCount="100000" sheet="1" objects="1" scenarios="1"/>
  <mergeCells count="1">
    <mergeCell ref="D2:F4"/>
  </mergeCells>
  <phoneticPr fontId="7" type="noConversion"/>
  <hyperlinks>
    <hyperlink ref="D2:D3" location="Start!A1" display="Home"/>
    <hyperlink ref="D6" location="'Language 1'!A1" display="Change Language"/>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B1:FQ1340"/>
  <sheetViews>
    <sheetView zoomScale="110" zoomScaleNormal="110" workbookViewId="0">
      <selection activeCell="P2" sqref="P2:R4"/>
    </sheetView>
  </sheetViews>
  <sheetFormatPr baseColWidth="10"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67" t="str">
        <f>'Used Language'!C15</f>
        <v>Change Language</v>
      </c>
      <c r="C2" s="768"/>
      <c r="D2" s="768"/>
      <c r="E2" s="768"/>
      <c r="F2" s="768"/>
      <c r="G2" s="768"/>
      <c r="H2" s="768"/>
      <c r="I2" s="768"/>
      <c r="J2" s="768"/>
      <c r="K2" s="768"/>
      <c r="L2" s="768"/>
      <c r="M2" s="768"/>
      <c r="N2" s="769"/>
      <c r="P2" s="758" t="str">
        <f>'Used Language'!C128</f>
        <v>Home</v>
      </c>
      <c r="Q2" s="759"/>
      <c r="R2" s="760"/>
    </row>
    <row r="3" spans="2:173" ht="13.5" customHeight="1" thickBot="1">
      <c r="P3" s="761"/>
      <c r="Q3" s="762"/>
      <c r="R3" s="763"/>
    </row>
    <row r="4" spans="2:173" ht="32.25" customHeight="1" thickTop="1" thickBot="1">
      <c r="B4" s="607" t="s">
        <v>1876</v>
      </c>
      <c r="C4" s="608"/>
      <c r="D4" s="608"/>
      <c r="E4" s="608"/>
      <c r="F4" s="608"/>
      <c r="G4" s="609"/>
      <c r="H4" s="360"/>
      <c r="I4" s="366">
        <v>2</v>
      </c>
      <c r="K4" s="771" t="s">
        <v>1877</v>
      </c>
      <c r="L4" s="772"/>
      <c r="M4" s="772"/>
      <c r="N4" s="773"/>
      <c r="P4" s="764"/>
      <c r="Q4" s="765"/>
      <c r="R4" s="766"/>
    </row>
    <row r="5" spans="2:173" ht="14.25" customHeight="1" thickTop="1">
      <c r="D5" s="360"/>
      <c r="E5" s="360"/>
      <c r="F5" s="360"/>
      <c r="G5" s="360"/>
      <c r="H5" s="360"/>
      <c r="I5" s="360"/>
    </row>
    <row r="6" spans="2:173" ht="25.5" customHeight="1">
      <c r="D6" s="360"/>
      <c r="E6" s="360"/>
      <c r="F6" s="770" t="s">
        <v>1874</v>
      </c>
      <c r="G6" s="770"/>
      <c r="H6" s="360"/>
      <c r="I6" s="360"/>
      <c r="M6" s="770" t="s">
        <v>1874</v>
      </c>
      <c r="N6" s="770"/>
    </row>
    <row r="7" spans="2:173">
      <c r="D7" s="360"/>
      <c r="E7" s="360"/>
      <c r="F7" s="360"/>
      <c r="G7" s="360"/>
      <c r="H7" s="360"/>
      <c r="I7" s="360"/>
    </row>
    <row r="8" spans="2:173" ht="34.15" customHeight="1">
      <c r="D8" s="367" t="s">
        <v>3171</v>
      </c>
      <c r="E8" s="360"/>
      <c r="F8" s="774">
        <v>1</v>
      </c>
      <c r="G8" s="774"/>
      <c r="H8" s="360"/>
      <c r="I8" s="74"/>
      <c r="K8" s="367" t="s">
        <v>1875</v>
      </c>
      <c r="L8" s="360"/>
      <c r="M8" s="774">
        <v>3</v>
      </c>
      <c r="N8" s="774"/>
    </row>
    <row r="9" spans="2:173" ht="9" customHeight="1">
      <c r="D9" s="74"/>
      <c r="E9" s="360"/>
      <c r="F9" s="360"/>
      <c r="G9" s="360"/>
      <c r="H9" s="36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5"/>
      <c r="C10" s="775"/>
      <c r="D10" s="367" t="s">
        <v>3172</v>
      </c>
      <c r="E10" s="360"/>
      <c r="F10" s="774">
        <v>2</v>
      </c>
      <c r="G10" s="774"/>
      <c r="H10" s="36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60"/>
      <c r="F11" s="360"/>
      <c r="G11" s="360"/>
      <c r="H11" s="360"/>
      <c r="I11" s="361"/>
      <c r="J11" s="75"/>
      <c r="K11" s="362"/>
      <c r="L11" s="36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7" t="s">
        <v>1901</v>
      </c>
      <c r="C12" s="768"/>
      <c r="D12" s="768"/>
      <c r="E12" s="768"/>
      <c r="F12" s="768"/>
      <c r="G12" s="768"/>
      <c r="H12" s="768"/>
      <c r="I12" s="768"/>
      <c r="J12" s="768"/>
      <c r="K12" s="768"/>
      <c r="L12" s="768"/>
      <c r="M12" s="768"/>
      <c r="N12" s="769"/>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60"/>
      <c r="F13" s="360"/>
      <c r="G13" s="360"/>
      <c r="H13" s="360"/>
      <c r="I13" s="361"/>
      <c r="J13" s="75"/>
      <c r="K13" s="362"/>
      <c r="L13" s="36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68" t="str">
        <f>'Language 2'!D4</f>
        <v>French</v>
      </c>
      <c r="E14" s="360"/>
      <c r="F14" s="774">
        <v>4</v>
      </c>
      <c r="G14" s="774"/>
      <c r="H14" s="360"/>
      <c r="I14" s="361"/>
      <c r="J14" s="75"/>
      <c r="K14" s="368" t="str">
        <f>'Language 2'!N4</f>
        <v>Thai</v>
      </c>
      <c r="L14" s="360"/>
      <c r="M14" s="774">
        <v>14</v>
      </c>
      <c r="N14" s="774"/>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60"/>
      <c r="F15" s="360"/>
      <c r="G15" s="360"/>
      <c r="H15" s="360"/>
      <c r="I15" s="361"/>
      <c r="J15" s="75"/>
      <c r="K15" s="75"/>
      <c r="L15" s="36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68" t="str">
        <f>'Language 2'!E4</f>
        <v>Deutsch</v>
      </c>
      <c r="E16" s="360"/>
      <c r="F16" s="774">
        <v>5</v>
      </c>
      <c r="G16" s="774"/>
      <c r="H16" s="360"/>
      <c r="I16" s="776"/>
      <c r="J16" s="75"/>
      <c r="K16" s="368" t="str">
        <f>'Language 2'!O4</f>
        <v>Serbian</v>
      </c>
      <c r="L16" s="360"/>
      <c r="M16" s="774">
        <v>15</v>
      </c>
      <c r="N16" s="774"/>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60"/>
      <c r="F17" s="360"/>
      <c r="G17" s="360"/>
      <c r="H17" s="360"/>
      <c r="I17" s="776"/>
      <c r="J17" s="75"/>
      <c r="K17" s="75"/>
      <c r="L17" s="36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68" t="str">
        <f>'Language 2'!F4</f>
        <v>Russian</v>
      </c>
      <c r="E18" s="360"/>
      <c r="F18" s="774">
        <v>6</v>
      </c>
      <c r="G18" s="774"/>
      <c r="H18" s="360"/>
      <c r="I18" s="361"/>
      <c r="J18" s="75"/>
      <c r="K18" s="368" t="str">
        <f>'Language 2'!P4</f>
        <v>Chinese (1)</v>
      </c>
      <c r="L18" s="360"/>
      <c r="M18" s="774">
        <v>16</v>
      </c>
      <c r="N18" s="774"/>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60"/>
      <c r="F19" s="360"/>
      <c r="G19" s="360"/>
      <c r="H19" s="360"/>
      <c r="I19" s="36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68" t="str">
        <f>'Language 2'!G4</f>
        <v>Vietnamese</v>
      </c>
      <c r="E20" s="360"/>
      <c r="F20" s="774">
        <v>7</v>
      </c>
      <c r="G20" s="774"/>
      <c r="H20" s="360"/>
      <c r="I20" s="361"/>
      <c r="J20" s="75"/>
      <c r="K20" s="368" t="str">
        <f>'Language 2'!Q4</f>
        <v>Chinese (2)</v>
      </c>
      <c r="L20" s="360"/>
      <c r="M20" s="774">
        <v>17</v>
      </c>
      <c r="N20" s="774"/>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60"/>
      <c r="F21" s="360"/>
      <c r="G21" s="360"/>
      <c r="H21" s="360"/>
      <c r="I21" s="36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68" t="str">
        <f>'Language 2'!H4</f>
        <v>Bahasa Indonesia</v>
      </c>
      <c r="E22" s="360"/>
      <c r="F22" s="774">
        <v>8</v>
      </c>
      <c r="G22" s="774"/>
      <c r="H22" s="360"/>
      <c r="I22" s="361"/>
      <c r="J22" s="75"/>
      <c r="K22" s="368" t="str">
        <f>'Language 2'!R4</f>
        <v>Chinese (3)</v>
      </c>
      <c r="L22" s="360"/>
      <c r="M22" s="774">
        <v>18</v>
      </c>
      <c r="N22" s="774"/>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60"/>
      <c r="F23" s="360"/>
      <c r="G23" s="360"/>
      <c r="H23" s="360"/>
      <c r="I23" s="36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68" t="str">
        <f>'Language 2'!I4</f>
        <v>Español</v>
      </c>
      <c r="E24" s="360"/>
      <c r="F24" s="774">
        <v>9</v>
      </c>
      <c r="G24" s="774"/>
      <c r="H24" s="74"/>
      <c r="I24" s="363"/>
      <c r="J24" s="75"/>
      <c r="K24" s="368" t="str">
        <f>'Language 2'!S4</f>
        <v>Romanian</v>
      </c>
      <c r="L24" s="360"/>
      <c r="M24" s="774">
        <v>19</v>
      </c>
      <c r="N24" s="774"/>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6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68" t="str">
        <f>'Language 2'!J4</f>
        <v>Italian</v>
      </c>
      <c r="E26" s="360"/>
      <c r="F26" s="774">
        <v>10</v>
      </c>
      <c r="G26" s="774"/>
      <c r="H26" s="96"/>
      <c r="I26" s="363"/>
      <c r="J26" s="75"/>
      <c r="K26" s="368" t="str">
        <f>'Language 2'!T4</f>
        <v>Bosnian</v>
      </c>
      <c r="L26" s="360"/>
      <c r="M26" s="774">
        <v>20</v>
      </c>
      <c r="N26" s="774"/>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6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68" t="str">
        <f>'Language 2'!K4</f>
        <v>Portuguese (Brazil)</v>
      </c>
      <c r="E28" s="96"/>
      <c r="F28" s="774">
        <v>11</v>
      </c>
      <c r="G28" s="774"/>
      <c r="H28" s="96"/>
      <c r="I28" s="363"/>
      <c r="J28" s="75"/>
      <c r="K28" s="368" t="str">
        <f>'Language 2'!U4</f>
        <v>Albanian</v>
      </c>
      <c r="L28" s="75"/>
      <c r="M28" s="774">
        <v>21</v>
      </c>
      <c r="N28" s="774"/>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6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68" t="str">
        <f>'Language 2'!L4</f>
        <v>Hungarian</v>
      </c>
      <c r="E30" s="360"/>
      <c r="F30" s="774">
        <v>12</v>
      </c>
      <c r="G30" s="774"/>
      <c r="H30" s="96"/>
      <c r="I30" s="363"/>
      <c r="J30" s="75"/>
      <c r="K30" s="368" t="str">
        <f>'Language 2'!V4</f>
        <v>Georgian</v>
      </c>
      <c r="L30" s="75"/>
      <c r="M30" s="774">
        <v>22</v>
      </c>
      <c r="N30" s="774"/>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6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68" t="str">
        <f>'Language 2'!M4</f>
        <v>Arabic</v>
      </c>
      <c r="E32" s="360"/>
      <c r="F32" s="774">
        <v>13</v>
      </c>
      <c r="G32" s="774"/>
      <c r="H32" s="96"/>
      <c r="I32" s="75"/>
      <c r="J32" s="75"/>
      <c r="K32" s="368" t="str">
        <f>'Language 2'!W4</f>
        <v>Bulgarian</v>
      </c>
      <c r="L32" s="75"/>
      <c r="M32" s="774">
        <v>23</v>
      </c>
      <c r="N32" s="774"/>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6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63"/>
      <c r="J34" s="75"/>
      <c r="K34" s="368" t="str">
        <f>'Language 2'!X4</f>
        <v>Czech</v>
      </c>
      <c r="L34" s="75"/>
      <c r="M34" s="774">
        <f>'Language 2'!X2</f>
        <v>24</v>
      </c>
      <c r="N34" s="774"/>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63"/>
      <c r="J35" s="36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63"/>
      <c r="J36" s="36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6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6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6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6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6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6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6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6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6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6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6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6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6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6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6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6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6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6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6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6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6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6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6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6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6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6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6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6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6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6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6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6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6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6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6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6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6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6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6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6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6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6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6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6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6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6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6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6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6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6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6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6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6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6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65"/>
      <c r="E91" s="365"/>
      <c r="F91" s="365"/>
      <c r="G91" s="96"/>
      <c r="H91" s="96"/>
      <c r="I91" s="36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6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6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6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6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6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6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6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6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6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6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6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6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6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6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6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6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6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6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6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6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6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6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6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6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6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6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6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6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6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6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6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6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6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6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6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6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6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6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6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6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6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6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6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6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6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6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6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6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6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6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6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6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6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6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6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6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6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6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6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6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6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6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6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6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6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6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6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6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6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6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6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6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6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6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6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6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6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6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6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6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6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6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6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6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6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6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6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6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6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6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6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6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6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6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6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6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6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6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6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6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6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6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6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6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6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6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6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6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6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6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6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6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6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6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6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6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6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6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6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6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6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6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6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6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6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6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6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6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6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6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6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6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6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6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6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6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6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6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6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6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6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6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6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6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6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6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6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6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6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6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6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6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6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6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6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6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6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6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6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6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6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6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6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6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6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6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6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6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6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6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6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6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6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6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6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6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6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6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6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6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6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6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6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6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6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6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6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6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6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6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6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6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6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6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6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6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6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6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6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6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6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6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6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6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6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6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6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6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6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6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6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6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6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6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6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6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6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6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6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6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6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6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6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6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6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6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6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6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6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6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6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6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6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6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6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6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6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6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6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6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6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6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6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6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6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6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6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6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6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6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6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6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6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6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6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6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6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6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6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6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6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6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6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6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6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6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6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6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6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6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6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6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6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6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6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6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6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6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6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6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6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6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6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6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6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6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6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6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6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6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6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hyperlink ref="P2:P3" location="Start!A1" display="Home"/>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BD202"/>
  <sheetViews>
    <sheetView topLeftCell="O1" zoomScale="80" zoomScaleNormal="80" workbookViewId="0">
      <selection activeCell="V14" sqref="V14"/>
    </sheetView>
  </sheetViews>
  <sheetFormatPr baseColWidth="10" defaultColWidth="11.42578125" defaultRowHeight="12.75"/>
  <cols>
    <col min="1" max="8" width="25.28515625" style="459" customWidth="1"/>
    <col min="9" max="9" width="25.28515625" style="488" customWidth="1"/>
    <col min="10" max="15" width="25.28515625" style="459" customWidth="1"/>
    <col min="16" max="16" width="25.28515625" style="489" customWidth="1"/>
    <col min="17" max="17" width="25.28515625" style="469" customWidth="1"/>
    <col min="18" max="18" width="25.28515625" style="489" customWidth="1"/>
    <col min="19" max="23" width="25.42578125" style="459" customWidth="1"/>
    <col min="24" max="24" width="25.42578125" style="490" customWidth="1"/>
    <col min="25" max="16384" width="11.42578125" style="459"/>
  </cols>
  <sheetData>
    <row r="1" spans="1:56">
      <c r="X1" s="459"/>
    </row>
    <row r="2" spans="1:56" s="445" customFormat="1">
      <c r="A2" s="445">
        <v>1</v>
      </c>
      <c r="B2" s="445">
        <v>2</v>
      </c>
      <c r="C2" s="445">
        <v>3</v>
      </c>
      <c r="D2" s="445">
        <v>4</v>
      </c>
      <c r="E2" s="445">
        <v>5</v>
      </c>
      <c r="F2" s="445">
        <v>6</v>
      </c>
      <c r="G2" s="445">
        <v>7</v>
      </c>
      <c r="H2" s="445">
        <v>8</v>
      </c>
      <c r="I2" s="446">
        <v>9</v>
      </c>
      <c r="J2" s="445">
        <v>10</v>
      </c>
      <c r="K2" s="445">
        <v>11</v>
      </c>
      <c r="L2" s="445">
        <v>12</v>
      </c>
      <c r="M2" s="445">
        <v>13</v>
      </c>
      <c r="N2" s="445">
        <v>14</v>
      </c>
      <c r="O2" s="445">
        <v>15</v>
      </c>
      <c r="P2" s="447">
        <v>16</v>
      </c>
      <c r="Q2" s="448">
        <v>17</v>
      </c>
      <c r="R2" s="447">
        <v>18</v>
      </c>
      <c r="S2" s="445">
        <v>19</v>
      </c>
      <c r="T2" s="445">
        <v>20</v>
      </c>
      <c r="U2" s="445">
        <v>21</v>
      </c>
      <c r="V2" s="445">
        <v>22</v>
      </c>
      <c r="W2" s="445">
        <v>23</v>
      </c>
      <c r="X2" s="445">
        <v>24</v>
      </c>
    </row>
    <row r="3" spans="1:56">
      <c r="X3" s="459"/>
    </row>
    <row r="4" spans="1:56" s="453" customFormat="1">
      <c r="A4" s="449" t="s">
        <v>1880</v>
      </c>
      <c r="B4" s="450" t="s">
        <v>1881</v>
      </c>
      <c r="C4" s="449" t="s">
        <v>1769</v>
      </c>
      <c r="D4" s="371" t="s">
        <v>675</v>
      </c>
      <c r="E4" s="449" t="s">
        <v>3173</v>
      </c>
      <c r="F4" s="371" t="s">
        <v>1894</v>
      </c>
      <c r="G4" s="371" t="s">
        <v>797</v>
      </c>
      <c r="H4" s="371" t="s">
        <v>895</v>
      </c>
      <c r="I4" s="449" t="s">
        <v>3246</v>
      </c>
      <c r="J4" s="371" t="s">
        <v>401</v>
      </c>
      <c r="K4" s="371" t="s">
        <v>2093</v>
      </c>
      <c r="L4" s="371" t="s">
        <v>1866</v>
      </c>
      <c r="M4" s="451" t="s">
        <v>2250</v>
      </c>
      <c r="N4" s="371" t="s">
        <v>2310</v>
      </c>
      <c r="O4" s="371" t="s">
        <v>439</v>
      </c>
      <c r="P4" s="452" t="s">
        <v>2370</v>
      </c>
      <c r="Q4" s="452" t="s">
        <v>2371</v>
      </c>
      <c r="R4" s="452" t="s">
        <v>2372</v>
      </c>
      <c r="S4" s="371" t="s">
        <v>224</v>
      </c>
      <c r="T4" s="371" t="s">
        <v>2182</v>
      </c>
      <c r="U4" s="371" t="s">
        <v>0</v>
      </c>
      <c r="V4" s="371" t="s">
        <v>2687</v>
      </c>
      <c r="W4" s="371" t="s">
        <v>2834</v>
      </c>
      <c r="X4" s="371" t="s">
        <v>3277</v>
      </c>
    </row>
    <row r="5" spans="1:56" ht="18">
      <c r="A5" s="12" t="s">
        <v>1601</v>
      </c>
      <c r="B5" s="10" t="s">
        <v>1601</v>
      </c>
      <c r="C5" s="12">
        <f>'Language 3'!C5</f>
        <v>0</v>
      </c>
      <c r="D5" s="10" t="s">
        <v>1426</v>
      </c>
      <c r="E5" s="12" t="s">
        <v>2202</v>
      </c>
      <c r="F5" s="10" t="s">
        <v>1420</v>
      </c>
      <c r="G5" s="12" t="s">
        <v>253</v>
      </c>
      <c r="H5" s="10" t="s">
        <v>660</v>
      </c>
      <c r="I5" s="454" t="s">
        <v>2000</v>
      </c>
      <c r="J5" s="10" t="s">
        <v>402</v>
      </c>
      <c r="K5" s="12" t="s">
        <v>2094</v>
      </c>
      <c r="L5" s="10" t="s">
        <v>1867</v>
      </c>
      <c r="M5" s="455" t="s">
        <v>2251</v>
      </c>
      <c r="N5" s="10" t="s">
        <v>2311</v>
      </c>
      <c r="O5" s="12" t="s">
        <v>440</v>
      </c>
      <c r="P5" s="456" t="s">
        <v>477</v>
      </c>
      <c r="Q5" s="457" t="s">
        <v>2373</v>
      </c>
      <c r="R5" s="10" t="s">
        <v>2506</v>
      </c>
      <c r="S5" s="12" t="s">
        <v>1143</v>
      </c>
      <c r="T5" s="10" t="s">
        <v>440</v>
      </c>
      <c r="U5" s="12" t="s">
        <v>1</v>
      </c>
      <c r="V5" s="13" t="s">
        <v>2688</v>
      </c>
      <c r="W5" s="458" t="s">
        <v>2835</v>
      </c>
      <c r="X5" s="10" t="s">
        <v>3278</v>
      </c>
    </row>
    <row r="6" spans="1:56" ht="18">
      <c r="A6" s="12" t="s">
        <v>1602</v>
      </c>
      <c r="B6" s="10" t="s">
        <v>1602</v>
      </c>
      <c r="C6" s="12">
        <f>'Language 3'!C6</f>
        <v>0</v>
      </c>
      <c r="D6" s="10" t="s">
        <v>1427</v>
      </c>
      <c r="E6" s="12" t="s">
        <v>2203</v>
      </c>
      <c r="F6" s="10" t="s">
        <v>1421</v>
      </c>
      <c r="G6" s="12" t="s">
        <v>254</v>
      </c>
      <c r="H6" s="10" t="s">
        <v>661</v>
      </c>
      <c r="I6" s="454" t="s">
        <v>2001</v>
      </c>
      <c r="J6" s="10" t="s">
        <v>403</v>
      </c>
      <c r="K6" s="12" t="s">
        <v>2095</v>
      </c>
      <c r="L6" s="10" t="s">
        <v>1868</v>
      </c>
      <c r="M6" s="455" t="s">
        <v>2252</v>
      </c>
      <c r="N6" s="10" t="s">
        <v>2312</v>
      </c>
      <c r="O6" s="12" t="s">
        <v>441</v>
      </c>
      <c r="P6" s="460" t="s">
        <v>2115</v>
      </c>
      <c r="Q6" s="461" t="s">
        <v>2374</v>
      </c>
      <c r="R6" s="10" t="s">
        <v>2374</v>
      </c>
      <c r="S6" s="12" t="s">
        <v>179</v>
      </c>
      <c r="T6" s="10" t="s">
        <v>1828</v>
      </c>
      <c r="U6" s="12" t="s">
        <v>2</v>
      </c>
      <c r="V6" s="10" t="s">
        <v>2689</v>
      </c>
      <c r="W6" s="454" t="s">
        <v>2836</v>
      </c>
      <c r="X6" s="10" t="s">
        <v>3279</v>
      </c>
    </row>
    <row r="7" spans="1:56" ht="38.25">
      <c r="A7" s="12" t="s">
        <v>1561</v>
      </c>
      <c r="B7" s="10" t="s">
        <v>1561</v>
      </c>
      <c r="C7" s="12">
        <f>'Language 3'!C7</f>
        <v>0</v>
      </c>
      <c r="D7" s="10" t="s">
        <v>1922</v>
      </c>
      <c r="E7" s="12" t="s">
        <v>2204</v>
      </c>
      <c r="F7" s="10" t="s">
        <v>1422</v>
      </c>
      <c r="G7" s="12" t="s">
        <v>255</v>
      </c>
      <c r="H7" s="10" t="s">
        <v>662</v>
      </c>
      <c r="I7" s="454" t="s">
        <v>2002</v>
      </c>
      <c r="J7" s="10" t="s">
        <v>404</v>
      </c>
      <c r="K7" s="12" t="s">
        <v>2096</v>
      </c>
      <c r="L7" s="10" t="s">
        <v>1869</v>
      </c>
      <c r="M7" s="455" t="s">
        <v>2253</v>
      </c>
      <c r="N7" s="10" t="s">
        <v>2313</v>
      </c>
      <c r="O7" s="12" t="s">
        <v>442</v>
      </c>
      <c r="P7" s="460" t="s">
        <v>478</v>
      </c>
      <c r="Q7" s="461" t="s">
        <v>2375</v>
      </c>
      <c r="R7" s="10" t="s">
        <v>2507</v>
      </c>
      <c r="S7" s="12" t="s">
        <v>2226</v>
      </c>
      <c r="T7" s="10" t="s">
        <v>1829</v>
      </c>
      <c r="U7" s="12" t="s">
        <v>3</v>
      </c>
      <c r="V7" s="10" t="s">
        <v>2690</v>
      </c>
      <c r="W7" s="454" t="s">
        <v>2837</v>
      </c>
      <c r="X7" s="10" t="s">
        <v>3280</v>
      </c>
    </row>
    <row r="8" spans="1:56" ht="18">
      <c r="A8" s="12" t="s">
        <v>1603</v>
      </c>
      <c r="B8" s="10" t="s">
        <v>1603</v>
      </c>
      <c r="C8" s="12">
        <f>'Language 3'!C8</f>
        <v>0</v>
      </c>
      <c r="D8" s="10" t="s">
        <v>1923</v>
      </c>
      <c r="E8" s="12" t="s">
        <v>2205</v>
      </c>
      <c r="F8" s="10" t="s">
        <v>1423</v>
      </c>
      <c r="G8" s="12" t="s">
        <v>256</v>
      </c>
      <c r="H8" s="10" t="s">
        <v>663</v>
      </c>
      <c r="I8" s="454" t="s">
        <v>2003</v>
      </c>
      <c r="J8" s="10" t="s">
        <v>405</v>
      </c>
      <c r="K8" s="12" t="s">
        <v>2097</v>
      </c>
      <c r="L8" s="10" t="s">
        <v>1870</v>
      </c>
      <c r="M8" s="455" t="s">
        <v>2254</v>
      </c>
      <c r="N8" s="10" t="s">
        <v>2314</v>
      </c>
      <c r="O8" s="12" t="s">
        <v>443</v>
      </c>
      <c r="P8" s="460" t="s">
        <v>479</v>
      </c>
      <c r="Q8" s="461" t="s">
        <v>2376</v>
      </c>
      <c r="R8" s="10" t="s">
        <v>2508</v>
      </c>
      <c r="S8" s="12" t="s">
        <v>2227</v>
      </c>
      <c r="T8" s="10" t="s">
        <v>443</v>
      </c>
      <c r="U8" s="12" t="s">
        <v>4</v>
      </c>
      <c r="V8" s="10" t="s">
        <v>2691</v>
      </c>
      <c r="W8" s="454" t="s">
        <v>2838</v>
      </c>
      <c r="X8" s="10" t="s">
        <v>3281</v>
      </c>
    </row>
    <row r="9" spans="1:56" ht="18">
      <c r="A9" s="12" t="s">
        <v>1398</v>
      </c>
      <c r="B9" s="10" t="s">
        <v>1398</v>
      </c>
      <c r="C9" s="12">
        <f>'Language 3'!C9</f>
        <v>0</v>
      </c>
      <c r="D9" s="10" t="s">
        <v>1924</v>
      </c>
      <c r="E9" s="12" t="s">
        <v>1399</v>
      </c>
      <c r="F9" s="10" t="s">
        <v>2649</v>
      </c>
      <c r="G9" s="12" t="s">
        <v>257</v>
      </c>
      <c r="H9" s="10" t="s">
        <v>664</v>
      </c>
      <c r="I9" s="454" t="s">
        <v>2004</v>
      </c>
      <c r="J9" s="10" t="s">
        <v>406</v>
      </c>
      <c r="K9" s="12" t="s">
        <v>2098</v>
      </c>
      <c r="L9" s="10" t="s">
        <v>920</v>
      </c>
      <c r="M9" s="455" t="s">
        <v>2255</v>
      </c>
      <c r="N9" s="10" t="s">
        <v>2315</v>
      </c>
      <c r="O9" s="12" t="s">
        <v>444</v>
      </c>
      <c r="P9" s="460" t="s">
        <v>480</v>
      </c>
      <c r="Q9" s="461" t="s">
        <v>480</v>
      </c>
      <c r="R9" s="10" t="s">
        <v>2509</v>
      </c>
      <c r="S9" s="12" t="s">
        <v>2228</v>
      </c>
      <c r="T9" s="10" t="s">
        <v>444</v>
      </c>
      <c r="U9" s="12" t="s">
        <v>5</v>
      </c>
      <c r="V9" s="10" t="s">
        <v>2692</v>
      </c>
      <c r="W9" s="454" t="s">
        <v>2839</v>
      </c>
      <c r="X9" s="10" t="s">
        <v>3282</v>
      </c>
    </row>
    <row r="10" spans="1:56" ht="25.5">
      <c r="A10" s="12" t="s">
        <v>1341</v>
      </c>
      <c r="B10" s="10" t="s">
        <v>1341</v>
      </c>
      <c r="C10" s="12">
        <f>'Language 3'!C10</f>
        <v>0</v>
      </c>
      <c r="D10" s="10" t="s">
        <v>1925</v>
      </c>
      <c r="E10" s="12" t="s">
        <v>1397</v>
      </c>
      <c r="F10" s="10" t="s">
        <v>2650</v>
      </c>
      <c r="G10" s="12" t="s">
        <v>258</v>
      </c>
      <c r="H10" s="10" t="s">
        <v>665</v>
      </c>
      <c r="I10" s="454" t="s">
        <v>2005</v>
      </c>
      <c r="J10" s="10" t="s">
        <v>407</v>
      </c>
      <c r="K10" s="12" t="s">
        <v>585</v>
      </c>
      <c r="L10" s="10" t="s">
        <v>921</v>
      </c>
      <c r="M10" s="455" t="s">
        <v>1617</v>
      </c>
      <c r="N10" s="10" t="s">
        <v>2316</v>
      </c>
      <c r="O10" s="12" t="s">
        <v>445</v>
      </c>
      <c r="P10" s="460" t="s">
        <v>481</v>
      </c>
      <c r="Q10" s="461" t="s">
        <v>2377</v>
      </c>
      <c r="R10" s="10" t="s">
        <v>2510</v>
      </c>
      <c r="S10" s="12" t="s">
        <v>2229</v>
      </c>
      <c r="T10" s="10" t="s">
        <v>1830</v>
      </c>
      <c r="U10" s="12" t="s">
        <v>134</v>
      </c>
      <c r="V10" s="10" t="s">
        <v>2693</v>
      </c>
      <c r="W10" s="454" t="s">
        <v>2840</v>
      </c>
      <c r="X10" s="10" t="s">
        <v>3283</v>
      </c>
    </row>
    <row r="11" spans="1:56" ht="25.5">
      <c r="A11" s="12" t="s">
        <v>1604</v>
      </c>
      <c r="B11" s="10" t="s">
        <v>1604</v>
      </c>
      <c r="C11" s="12">
        <f>'Language 3'!C11</f>
        <v>0</v>
      </c>
      <c r="D11" s="10" t="s">
        <v>1926</v>
      </c>
      <c r="E11" s="12" t="s">
        <v>2206</v>
      </c>
      <c r="F11" s="10" t="s">
        <v>1424</v>
      </c>
      <c r="G11" s="12" t="s">
        <v>259</v>
      </c>
      <c r="H11" s="10" t="s">
        <v>666</v>
      </c>
      <c r="I11" s="454" t="s">
        <v>2006</v>
      </c>
      <c r="J11" s="10" t="s">
        <v>408</v>
      </c>
      <c r="K11" s="12" t="s">
        <v>2099</v>
      </c>
      <c r="L11" s="10" t="s">
        <v>922</v>
      </c>
      <c r="M11" s="455" t="s">
        <v>2256</v>
      </c>
      <c r="N11" s="10" t="s">
        <v>1030</v>
      </c>
      <c r="O11" s="12" t="s">
        <v>446</v>
      </c>
      <c r="P11" s="460" t="s">
        <v>482</v>
      </c>
      <c r="Q11" s="461" t="s">
        <v>2378</v>
      </c>
      <c r="R11" s="10" t="s">
        <v>2511</v>
      </c>
      <c r="S11" s="12" t="s">
        <v>2230</v>
      </c>
      <c r="T11" s="10" t="s">
        <v>1831</v>
      </c>
      <c r="U11" s="12" t="s">
        <v>6</v>
      </c>
      <c r="V11" s="10" t="s">
        <v>2694</v>
      </c>
      <c r="W11" s="454" t="s">
        <v>2841</v>
      </c>
      <c r="X11" s="10" t="s">
        <v>3284</v>
      </c>
    </row>
    <row r="12" spans="1:56" ht="25.5">
      <c r="A12" s="12" t="s">
        <v>1605</v>
      </c>
      <c r="B12" s="10" t="s">
        <v>1605</v>
      </c>
      <c r="C12" s="12">
        <f>'Language 3'!C12</f>
        <v>0</v>
      </c>
      <c r="D12" s="10" t="s">
        <v>1927</v>
      </c>
      <c r="E12" s="12" t="s">
        <v>2207</v>
      </c>
      <c r="F12" s="10" t="s">
        <v>1425</v>
      </c>
      <c r="G12" s="12" t="s">
        <v>260</v>
      </c>
      <c r="H12" s="10" t="s">
        <v>667</v>
      </c>
      <c r="I12" s="454" t="s">
        <v>2007</v>
      </c>
      <c r="J12" s="10" t="s">
        <v>409</v>
      </c>
      <c r="K12" s="12" t="s">
        <v>2100</v>
      </c>
      <c r="L12" s="10" t="s">
        <v>923</v>
      </c>
      <c r="M12" s="455" t="s">
        <v>2257</v>
      </c>
      <c r="N12" s="10" t="s">
        <v>1031</v>
      </c>
      <c r="O12" s="12" t="s">
        <v>447</v>
      </c>
      <c r="P12" s="460" t="s">
        <v>483</v>
      </c>
      <c r="Q12" s="461" t="s">
        <v>2379</v>
      </c>
      <c r="R12" s="10" t="s">
        <v>2512</v>
      </c>
      <c r="S12" s="12" t="s">
        <v>180</v>
      </c>
      <c r="T12" s="10" t="s">
        <v>1832</v>
      </c>
      <c r="U12" s="12" t="s">
        <v>7</v>
      </c>
      <c r="V12" s="10" t="s">
        <v>2695</v>
      </c>
      <c r="W12" s="454" t="s">
        <v>2842</v>
      </c>
      <c r="X12" s="10" t="s">
        <v>3285</v>
      </c>
    </row>
    <row r="13" spans="1:56" ht="25.5">
      <c r="A13" s="12" t="s">
        <v>1883</v>
      </c>
      <c r="B13" s="10" t="s">
        <v>1487</v>
      </c>
      <c r="C13" s="12">
        <f>'Language 3'!C13</f>
        <v>0</v>
      </c>
      <c r="D13" s="10" t="s">
        <v>1928</v>
      </c>
      <c r="E13" s="12" t="s">
        <v>555</v>
      </c>
      <c r="F13" s="10" t="s">
        <v>843</v>
      </c>
      <c r="G13" s="12" t="s">
        <v>261</v>
      </c>
      <c r="H13" s="10" t="s">
        <v>668</v>
      </c>
      <c r="I13" s="454" t="s">
        <v>2008</v>
      </c>
      <c r="J13" s="10" t="s">
        <v>410</v>
      </c>
      <c r="K13" s="12" t="s">
        <v>2101</v>
      </c>
      <c r="L13" s="10" t="s">
        <v>924</v>
      </c>
      <c r="M13" s="455" t="s">
        <v>2258</v>
      </c>
      <c r="N13" s="10" t="s">
        <v>1032</v>
      </c>
      <c r="O13" s="12" t="s">
        <v>448</v>
      </c>
      <c r="P13" s="460" t="s">
        <v>2116</v>
      </c>
      <c r="Q13" s="461" t="s">
        <v>2380</v>
      </c>
      <c r="R13" s="10" t="s">
        <v>2513</v>
      </c>
      <c r="S13" s="12" t="s">
        <v>181</v>
      </c>
      <c r="T13" s="10" t="s">
        <v>1833</v>
      </c>
      <c r="U13" s="12" t="s">
        <v>8</v>
      </c>
      <c r="V13" s="10" t="s">
        <v>2696</v>
      </c>
      <c r="W13" s="454" t="s">
        <v>2843</v>
      </c>
      <c r="X13" s="10" t="s">
        <v>3286</v>
      </c>
    </row>
    <row r="14" spans="1:56" ht="51">
      <c r="A14" s="12" t="s">
        <v>1546</v>
      </c>
      <c r="B14" s="10" t="s">
        <v>1546</v>
      </c>
      <c r="C14" s="12">
        <f>'Language 3'!C14</f>
        <v>0</v>
      </c>
      <c r="D14" s="10" t="s">
        <v>1494</v>
      </c>
      <c r="E14" s="12" t="s">
        <v>2208</v>
      </c>
      <c r="F14" s="10" t="s">
        <v>813</v>
      </c>
      <c r="G14" s="462" t="s">
        <v>799</v>
      </c>
      <c r="H14" s="10" t="s">
        <v>669</v>
      </c>
      <c r="I14" s="454" t="s">
        <v>2009</v>
      </c>
      <c r="J14" s="10" t="s">
        <v>411</v>
      </c>
      <c r="K14" s="12" t="s">
        <v>2102</v>
      </c>
      <c r="L14" s="10" t="s">
        <v>925</v>
      </c>
      <c r="M14" s="455" t="s">
        <v>2259</v>
      </c>
      <c r="N14" s="10" t="s">
        <v>1033</v>
      </c>
      <c r="O14" s="12" t="s">
        <v>449</v>
      </c>
      <c r="P14" s="460" t="s">
        <v>484</v>
      </c>
      <c r="Q14" s="461" t="s">
        <v>2381</v>
      </c>
      <c r="R14" s="10" t="s">
        <v>2514</v>
      </c>
      <c r="S14" s="12" t="s">
        <v>186</v>
      </c>
      <c r="T14" s="10" t="s">
        <v>1834</v>
      </c>
      <c r="U14" s="12" t="s">
        <v>9</v>
      </c>
      <c r="V14" s="10" t="s">
        <v>2697</v>
      </c>
      <c r="W14" s="454" t="s">
        <v>2844</v>
      </c>
      <c r="X14" s="10" t="s">
        <v>3287</v>
      </c>
    </row>
    <row r="15" spans="1:56" ht="36">
      <c r="A15" s="12" t="s">
        <v>1606</v>
      </c>
      <c r="B15" s="10" t="s">
        <v>1606</v>
      </c>
      <c r="C15" s="12" t="s">
        <v>1606</v>
      </c>
      <c r="D15" s="10" t="s">
        <v>1473</v>
      </c>
      <c r="E15" s="12" t="s">
        <v>1474</v>
      </c>
      <c r="F15" s="10" t="s">
        <v>1475</v>
      </c>
      <c r="G15" s="12" t="s">
        <v>1476</v>
      </c>
      <c r="H15" s="10" t="s">
        <v>1477</v>
      </c>
      <c r="I15" s="463" t="s">
        <v>3258</v>
      </c>
      <c r="J15" s="10" t="s">
        <v>1286</v>
      </c>
      <c r="K15" s="12" t="s">
        <v>1999</v>
      </c>
      <c r="L15" s="10" t="s">
        <v>2249</v>
      </c>
      <c r="M15" s="455" t="s">
        <v>1170</v>
      </c>
      <c r="N15" s="10" t="s">
        <v>2084</v>
      </c>
      <c r="O15" s="12" t="s">
        <v>712</v>
      </c>
      <c r="P15" s="464" t="s">
        <v>2117</v>
      </c>
      <c r="Q15" s="461" t="s">
        <v>2382</v>
      </c>
      <c r="R15" s="10" t="s">
        <v>2515</v>
      </c>
      <c r="S15" s="12" t="s">
        <v>1814</v>
      </c>
      <c r="T15" s="10" t="s">
        <v>1606</v>
      </c>
      <c r="U15" s="12" t="s">
        <v>2686</v>
      </c>
      <c r="V15" s="10" t="s">
        <v>1606</v>
      </c>
      <c r="W15" s="454" t="s">
        <v>1606</v>
      </c>
      <c r="X15" s="10" t="s">
        <v>1606</v>
      </c>
    </row>
    <row r="16" spans="1:56" s="465" customFormat="1" ht="25.5">
      <c r="A16" s="12" t="s">
        <v>1341</v>
      </c>
      <c r="B16" s="10" t="s">
        <v>1341</v>
      </c>
      <c r="C16" s="12">
        <f>'Language 3'!C16</f>
        <v>0</v>
      </c>
      <c r="D16" s="10" t="s">
        <v>1925</v>
      </c>
      <c r="E16" s="12" t="s">
        <v>1397</v>
      </c>
      <c r="F16" s="10" t="s">
        <v>2650</v>
      </c>
      <c r="G16" s="12" t="s">
        <v>258</v>
      </c>
      <c r="H16" s="10" t="s">
        <v>665</v>
      </c>
      <c r="I16" s="454" t="s">
        <v>2005</v>
      </c>
      <c r="J16" s="10" t="s">
        <v>407</v>
      </c>
      <c r="K16" s="12" t="s">
        <v>585</v>
      </c>
      <c r="L16" s="10" t="s">
        <v>921</v>
      </c>
      <c r="M16" s="455" t="s">
        <v>1617</v>
      </c>
      <c r="N16" s="10" t="s">
        <v>2316</v>
      </c>
      <c r="O16" s="12" t="s">
        <v>445</v>
      </c>
      <c r="P16" s="460" t="s">
        <v>485</v>
      </c>
      <c r="Q16" s="461" t="s">
        <v>2377</v>
      </c>
      <c r="R16" s="10" t="s">
        <v>2510</v>
      </c>
      <c r="S16" s="12" t="s">
        <v>2229</v>
      </c>
      <c r="T16" s="10" t="s">
        <v>1830</v>
      </c>
      <c r="U16" s="12" t="s">
        <v>134</v>
      </c>
      <c r="V16" s="10" t="s">
        <v>2693</v>
      </c>
      <c r="W16" s="454" t="s">
        <v>2840</v>
      </c>
      <c r="X16" s="10" t="s">
        <v>3283</v>
      </c>
      <c r="Y16" s="459"/>
      <c r="Z16" s="459"/>
      <c r="AA16" s="459"/>
      <c r="AB16" s="459"/>
      <c r="AC16" s="459"/>
      <c r="AD16" s="459"/>
      <c r="AE16" s="459"/>
      <c r="AF16" s="459"/>
      <c r="AG16" s="459"/>
      <c r="AH16" s="459"/>
      <c r="AI16" s="459"/>
      <c r="AJ16" s="459"/>
      <c r="AK16" s="459"/>
      <c r="AL16" s="459"/>
      <c r="AM16" s="459"/>
      <c r="AN16" s="459"/>
      <c r="AO16" s="459"/>
      <c r="AP16" s="459"/>
      <c r="AQ16" s="459"/>
      <c r="AR16" s="459"/>
      <c r="AS16" s="459"/>
      <c r="AT16" s="459"/>
      <c r="AU16" s="459"/>
      <c r="AV16" s="459"/>
      <c r="AW16" s="459"/>
      <c r="AX16" s="459"/>
      <c r="AY16" s="459"/>
      <c r="AZ16" s="459"/>
      <c r="BA16" s="459"/>
      <c r="BB16" s="459"/>
      <c r="BC16" s="459"/>
      <c r="BD16" s="459"/>
    </row>
    <row r="17" spans="1:24" ht="25.5">
      <c r="A17" s="12" t="s">
        <v>1884</v>
      </c>
      <c r="B17" s="10" t="s">
        <v>1553</v>
      </c>
      <c r="C17" s="12">
        <f>'Language 3'!C17</f>
        <v>0</v>
      </c>
      <c r="D17" s="10" t="s">
        <v>1495</v>
      </c>
      <c r="E17" s="12" t="s">
        <v>2209</v>
      </c>
      <c r="F17" s="10" t="s">
        <v>844</v>
      </c>
      <c r="G17" s="12" t="s">
        <v>262</v>
      </c>
      <c r="H17" s="10" t="s">
        <v>670</v>
      </c>
      <c r="I17" s="454" t="s">
        <v>2103</v>
      </c>
      <c r="J17" s="10" t="s">
        <v>412</v>
      </c>
      <c r="K17" s="12" t="s">
        <v>2103</v>
      </c>
      <c r="L17" s="10" t="s">
        <v>926</v>
      </c>
      <c r="M17" s="455" t="s">
        <v>2260</v>
      </c>
      <c r="N17" s="10" t="s">
        <v>1034</v>
      </c>
      <c r="O17" s="12" t="s">
        <v>450</v>
      </c>
      <c r="P17" s="464" t="s">
        <v>2118</v>
      </c>
      <c r="Q17" s="461" t="s">
        <v>2383</v>
      </c>
      <c r="R17" s="10" t="s">
        <v>2516</v>
      </c>
      <c r="S17" s="12" t="s">
        <v>2231</v>
      </c>
      <c r="T17" s="10" t="s">
        <v>1835</v>
      </c>
      <c r="U17" s="12" t="s">
        <v>10</v>
      </c>
      <c r="V17" s="10" t="s">
        <v>2698</v>
      </c>
      <c r="W17" s="454" t="s">
        <v>2845</v>
      </c>
      <c r="X17" s="10" t="s">
        <v>3288</v>
      </c>
    </row>
    <row r="18" spans="1:24" ht="18">
      <c r="A18" s="12" t="s">
        <v>1556</v>
      </c>
      <c r="B18" s="10" t="s">
        <v>1556</v>
      </c>
      <c r="C18" s="12">
        <f>'Language 3'!C18</f>
        <v>0</v>
      </c>
      <c r="D18" s="10" t="s">
        <v>1496</v>
      </c>
      <c r="E18" s="12" t="s">
        <v>2210</v>
      </c>
      <c r="F18" s="10" t="s">
        <v>814</v>
      </c>
      <c r="G18" s="12" t="s">
        <v>263</v>
      </c>
      <c r="H18" s="10" t="s">
        <v>671</v>
      </c>
      <c r="I18" s="454" t="s">
        <v>2319</v>
      </c>
      <c r="J18" s="10" t="s">
        <v>413</v>
      </c>
      <c r="K18" s="12" t="s">
        <v>2104</v>
      </c>
      <c r="L18" s="10" t="s">
        <v>927</v>
      </c>
      <c r="M18" s="455" t="s">
        <v>2261</v>
      </c>
      <c r="N18" s="10" t="s">
        <v>1035</v>
      </c>
      <c r="O18" s="12" t="s">
        <v>451</v>
      </c>
      <c r="P18" s="460" t="s">
        <v>486</v>
      </c>
      <c r="Q18" s="461" t="s">
        <v>2384</v>
      </c>
      <c r="R18" s="10" t="s">
        <v>2517</v>
      </c>
      <c r="S18" s="12" t="s">
        <v>2232</v>
      </c>
      <c r="T18" s="10" t="s">
        <v>451</v>
      </c>
      <c r="U18" s="12" t="s">
        <v>11</v>
      </c>
      <c r="V18" s="10" t="s">
        <v>2699</v>
      </c>
      <c r="W18" s="454" t="s">
        <v>2846</v>
      </c>
      <c r="X18" s="10" t="s">
        <v>3289</v>
      </c>
    </row>
    <row r="19" spans="1:24" ht="36">
      <c r="A19" s="12" t="s">
        <v>1885</v>
      </c>
      <c r="B19" s="10" t="s">
        <v>1552</v>
      </c>
      <c r="C19" s="12">
        <f>'Language 3'!C19</f>
        <v>0</v>
      </c>
      <c r="D19" s="10" t="s">
        <v>1497</v>
      </c>
      <c r="E19" s="12" t="s">
        <v>2206</v>
      </c>
      <c r="F19" s="10" t="s">
        <v>845</v>
      </c>
      <c r="G19" s="12" t="s">
        <v>264</v>
      </c>
      <c r="H19" s="10" t="s">
        <v>2022</v>
      </c>
      <c r="I19" s="454" t="s">
        <v>2320</v>
      </c>
      <c r="J19" s="10" t="s">
        <v>414</v>
      </c>
      <c r="K19" s="12" t="s">
        <v>2105</v>
      </c>
      <c r="L19" s="10" t="s">
        <v>922</v>
      </c>
      <c r="M19" s="455" t="s">
        <v>2262</v>
      </c>
      <c r="N19" s="10" t="s">
        <v>1036</v>
      </c>
      <c r="O19" s="12" t="s">
        <v>452</v>
      </c>
      <c r="P19" s="464" t="s">
        <v>2119</v>
      </c>
      <c r="Q19" s="461" t="s">
        <v>2385</v>
      </c>
      <c r="R19" s="10" t="s">
        <v>2518</v>
      </c>
      <c r="S19" s="12" t="s">
        <v>2233</v>
      </c>
      <c r="T19" s="10" t="s">
        <v>1836</v>
      </c>
      <c r="U19" s="12" t="s">
        <v>12</v>
      </c>
      <c r="V19" s="10" t="s">
        <v>2700</v>
      </c>
      <c r="W19" s="454" t="s">
        <v>2847</v>
      </c>
      <c r="X19" s="10" t="s">
        <v>3290</v>
      </c>
    </row>
    <row r="20" spans="1:24" ht="36">
      <c r="A20" s="12" t="s">
        <v>1886</v>
      </c>
      <c r="B20" s="10" t="s">
        <v>1554</v>
      </c>
      <c r="C20" s="12">
        <f>'Language 3'!C20</f>
        <v>0</v>
      </c>
      <c r="D20" s="10" t="s">
        <v>1498</v>
      </c>
      <c r="E20" s="12" t="s">
        <v>2207</v>
      </c>
      <c r="F20" s="10" t="s">
        <v>846</v>
      </c>
      <c r="G20" s="12" t="s">
        <v>265</v>
      </c>
      <c r="H20" s="10" t="s">
        <v>2023</v>
      </c>
      <c r="I20" s="454" t="s">
        <v>2321</v>
      </c>
      <c r="J20" s="10" t="s">
        <v>415</v>
      </c>
      <c r="K20" s="12" t="s">
        <v>1563</v>
      </c>
      <c r="L20" s="10" t="s">
        <v>923</v>
      </c>
      <c r="M20" s="455" t="s">
        <v>2263</v>
      </c>
      <c r="N20" s="10" t="s">
        <v>1037</v>
      </c>
      <c r="O20" s="12" t="s">
        <v>453</v>
      </c>
      <c r="P20" s="464" t="s">
        <v>2120</v>
      </c>
      <c r="Q20" s="461" t="s">
        <v>2386</v>
      </c>
      <c r="R20" s="10" t="s">
        <v>2519</v>
      </c>
      <c r="S20" s="12" t="s">
        <v>2234</v>
      </c>
      <c r="T20" s="10" t="s">
        <v>1837</v>
      </c>
      <c r="U20" s="12" t="s">
        <v>13</v>
      </c>
      <c r="V20" s="10" t="s">
        <v>2701</v>
      </c>
      <c r="W20" s="454" t="s">
        <v>2848</v>
      </c>
      <c r="X20" s="10" t="s">
        <v>3291</v>
      </c>
    </row>
    <row r="21" spans="1:24" ht="25.5">
      <c r="A21" s="12" t="s">
        <v>1888</v>
      </c>
      <c r="B21" s="10" t="s">
        <v>1557</v>
      </c>
      <c r="C21" s="12">
        <f>'Language 3'!C21</f>
        <v>0</v>
      </c>
      <c r="D21" s="10" t="s">
        <v>1499</v>
      </c>
      <c r="E21" s="12" t="s">
        <v>2211</v>
      </c>
      <c r="F21" s="10" t="s">
        <v>847</v>
      </c>
      <c r="G21" s="12" t="s">
        <v>266</v>
      </c>
      <c r="H21" s="10" t="s">
        <v>2024</v>
      </c>
      <c r="I21" s="454" t="s">
        <v>2322</v>
      </c>
      <c r="J21" s="10" t="s">
        <v>416</v>
      </c>
      <c r="K21" s="12" t="s">
        <v>587</v>
      </c>
      <c r="L21" s="10" t="s">
        <v>928</v>
      </c>
      <c r="M21" s="455" t="s">
        <v>2264</v>
      </c>
      <c r="N21" s="10" t="s">
        <v>1038</v>
      </c>
      <c r="O21" s="12" t="s">
        <v>454</v>
      </c>
      <c r="P21" s="460" t="s">
        <v>487</v>
      </c>
      <c r="Q21" s="461" t="s">
        <v>2387</v>
      </c>
      <c r="R21" s="10" t="s">
        <v>2520</v>
      </c>
      <c r="S21" s="12" t="s">
        <v>1140</v>
      </c>
      <c r="T21" s="10" t="s">
        <v>454</v>
      </c>
      <c r="U21" s="12" t="s">
        <v>14</v>
      </c>
      <c r="V21" s="10" t="s">
        <v>2702</v>
      </c>
      <c r="W21" s="454" t="s">
        <v>2849</v>
      </c>
      <c r="X21" s="10" t="s">
        <v>3292</v>
      </c>
    </row>
    <row r="22" spans="1:24" ht="25.5">
      <c r="A22" s="12" t="s">
        <v>1887</v>
      </c>
      <c r="B22" s="10" t="s">
        <v>1558</v>
      </c>
      <c r="C22" s="12">
        <f>'Language 3'!C22</f>
        <v>0</v>
      </c>
      <c r="D22" s="10" t="s">
        <v>1500</v>
      </c>
      <c r="E22" s="12" t="s">
        <v>2212</v>
      </c>
      <c r="F22" s="10" t="s">
        <v>848</v>
      </c>
      <c r="G22" s="12" t="s">
        <v>267</v>
      </c>
      <c r="H22" s="10" t="s">
        <v>2025</v>
      </c>
      <c r="I22" s="454" t="s">
        <v>2323</v>
      </c>
      <c r="J22" s="10" t="s">
        <v>417</v>
      </c>
      <c r="K22" s="12" t="s">
        <v>588</v>
      </c>
      <c r="L22" s="10" t="s">
        <v>929</v>
      </c>
      <c r="M22" s="455" t="s">
        <v>2265</v>
      </c>
      <c r="N22" s="10" t="s">
        <v>1039</v>
      </c>
      <c r="O22" s="12" t="s">
        <v>455</v>
      </c>
      <c r="P22" s="460" t="s">
        <v>488</v>
      </c>
      <c r="Q22" s="461" t="s">
        <v>2388</v>
      </c>
      <c r="R22" s="10" t="s">
        <v>2521</v>
      </c>
      <c r="S22" s="12" t="s">
        <v>1141</v>
      </c>
      <c r="T22" s="10" t="s">
        <v>455</v>
      </c>
      <c r="U22" s="12" t="s">
        <v>15</v>
      </c>
      <c r="V22" s="10" t="s">
        <v>2703</v>
      </c>
      <c r="W22" s="454" t="s">
        <v>2850</v>
      </c>
      <c r="X22" s="10" t="s">
        <v>3293</v>
      </c>
    </row>
    <row r="23" spans="1:24" ht="38.25">
      <c r="A23" s="12" t="s">
        <v>2344</v>
      </c>
      <c r="B23" s="10" t="s">
        <v>2344</v>
      </c>
      <c r="C23" s="12">
        <f>'Language 3'!C23</f>
        <v>0</v>
      </c>
      <c r="D23" s="10" t="s">
        <v>1501</v>
      </c>
      <c r="E23" s="12" t="s">
        <v>2215</v>
      </c>
      <c r="F23" s="10" t="s">
        <v>849</v>
      </c>
      <c r="G23" s="12" t="s">
        <v>268</v>
      </c>
      <c r="H23" s="10" t="s">
        <v>2026</v>
      </c>
      <c r="I23" s="454" t="s">
        <v>2324</v>
      </c>
      <c r="J23" s="10" t="s">
        <v>418</v>
      </c>
      <c r="K23" s="12" t="s">
        <v>1564</v>
      </c>
      <c r="L23" s="10" t="s">
        <v>930</v>
      </c>
      <c r="M23" s="455" t="s">
        <v>1618</v>
      </c>
      <c r="N23" s="10" t="s">
        <v>1040</v>
      </c>
      <c r="O23" s="12" t="s">
        <v>456</v>
      </c>
      <c r="P23" s="460" t="s">
        <v>489</v>
      </c>
      <c r="Q23" s="461" t="s">
        <v>2389</v>
      </c>
      <c r="R23" s="10" t="s">
        <v>2522</v>
      </c>
      <c r="S23" s="12" t="s">
        <v>182</v>
      </c>
      <c r="T23" s="10" t="s">
        <v>1838</v>
      </c>
      <c r="U23" s="12" t="s">
        <v>16</v>
      </c>
      <c r="V23" s="10" t="s">
        <v>2704</v>
      </c>
      <c r="W23" s="454" t="s">
        <v>2851</v>
      </c>
      <c r="X23" s="10" t="s">
        <v>3294</v>
      </c>
    </row>
    <row r="24" spans="1:24" ht="38.25">
      <c r="A24" s="12" t="s">
        <v>2345</v>
      </c>
      <c r="B24" s="10" t="s">
        <v>2345</v>
      </c>
      <c r="C24" s="12">
        <f>'Language 3'!C24</f>
        <v>0</v>
      </c>
      <c r="D24" s="10" t="s">
        <v>1502</v>
      </c>
      <c r="E24" s="12" t="s">
        <v>2214</v>
      </c>
      <c r="F24" s="10" t="s">
        <v>2660</v>
      </c>
      <c r="G24" s="12" t="s">
        <v>269</v>
      </c>
      <c r="H24" s="10" t="s">
        <v>2027</v>
      </c>
      <c r="I24" s="454" t="s">
        <v>2325</v>
      </c>
      <c r="J24" s="10" t="s">
        <v>419</v>
      </c>
      <c r="K24" s="12" t="s">
        <v>1565</v>
      </c>
      <c r="L24" s="10" t="s">
        <v>931</v>
      </c>
      <c r="M24" s="455" t="s">
        <v>2266</v>
      </c>
      <c r="N24" s="10" t="s">
        <v>1041</v>
      </c>
      <c r="O24" s="12" t="s">
        <v>457</v>
      </c>
      <c r="P24" s="460" t="s">
        <v>490</v>
      </c>
      <c r="Q24" s="461" t="s">
        <v>2390</v>
      </c>
      <c r="R24" s="10" t="s">
        <v>2523</v>
      </c>
      <c r="S24" s="12" t="s">
        <v>183</v>
      </c>
      <c r="T24" s="10" t="s">
        <v>1839</v>
      </c>
      <c r="U24" s="12" t="s">
        <v>2675</v>
      </c>
      <c r="V24" s="10" t="s">
        <v>2705</v>
      </c>
      <c r="W24" s="454" t="s">
        <v>2852</v>
      </c>
      <c r="X24" s="10" t="s">
        <v>3295</v>
      </c>
    </row>
    <row r="25" spans="1:24" ht="38.25">
      <c r="A25" s="12" t="s">
        <v>2346</v>
      </c>
      <c r="B25" s="10" t="s">
        <v>2346</v>
      </c>
      <c r="C25" s="12">
        <f>'Language 3'!C25</f>
        <v>0</v>
      </c>
      <c r="D25" s="10" t="s">
        <v>1503</v>
      </c>
      <c r="E25" s="12" t="s">
        <v>396</v>
      </c>
      <c r="F25" s="10" t="s">
        <v>557</v>
      </c>
      <c r="G25" s="12" t="s">
        <v>270</v>
      </c>
      <c r="H25" s="10" t="s">
        <v>2028</v>
      </c>
      <c r="I25" s="454" t="s">
        <v>2326</v>
      </c>
      <c r="J25" s="10" t="s">
        <v>420</v>
      </c>
      <c r="K25" s="12" t="s">
        <v>1714</v>
      </c>
      <c r="L25" s="10" t="s">
        <v>932</v>
      </c>
      <c r="M25" s="455" t="s">
        <v>2267</v>
      </c>
      <c r="N25" s="10" t="s">
        <v>1042</v>
      </c>
      <c r="O25" s="12" t="s">
        <v>458</v>
      </c>
      <c r="P25" s="460" t="s">
        <v>491</v>
      </c>
      <c r="Q25" s="461" t="s">
        <v>2391</v>
      </c>
      <c r="R25" s="10" t="s">
        <v>2524</v>
      </c>
      <c r="S25" s="12" t="s">
        <v>184</v>
      </c>
      <c r="T25" s="10" t="s">
        <v>1840</v>
      </c>
      <c r="U25" s="12" t="s">
        <v>18</v>
      </c>
      <c r="V25" s="10" t="s">
        <v>2706</v>
      </c>
      <c r="W25" s="454" t="s">
        <v>2853</v>
      </c>
      <c r="X25" s="10" t="s">
        <v>3296</v>
      </c>
    </row>
    <row r="26" spans="1:24" ht="38.25">
      <c r="A26" s="12" t="s">
        <v>1486</v>
      </c>
      <c r="B26" s="10" t="s">
        <v>1486</v>
      </c>
      <c r="C26" s="12">
        <f>'Language 3'!C26</f>
        <v>0</v>
      </c>
      <c r="D26" s="10" t="s">
        <v>1504</v>
      </c>
      <c r="E26" s="12" t="s">
        <v>2213</v>
      </c>
      <c r="F26" s="10" t="s">
        <v>558</v>
      </c>
      <c r="G26" s="12" t="s">
        <v>271</v>
      </c>
      <c r="H26" s="10" t="s">
        <v>2029</v>
      </c>
      <c r="I26" s="454" t="s">
        <v>2327</v>
      </c>
      <c r="J26" s="10" t="s">
        <v>1368</v>
      </c>
      <c r="K26" s="12" t="s">
        <v>1715</v>
      </c>
      <c r="L26" s="10" t="s">
        <v>933</v>
      </c>
      <c r="M26" s="455" t="s">
        <v>1619</v>
      </c>
      <c r="N26" s="10" t="s">
        <v>1043</v>
      </c>
      <c r="O26" s="12" t="s">
        <v>459</v>
      </c>
      <c r="P26" s="466" t="s">
        <v>492</v>
      </c>
      <c r="Q26" s="467" t="s">
        <v>2392</v>
      </c>
      <c r="R26" s="10" t="s">
        <v>2525</v>
      </c>
      <c r="S26" s="12" t="s">
        <v>185</v>
      </c>
      <c r="T26" s="10" t="s">
        <v>1841</v>
      </c>
      <c r="U26" s="12" t="s">
        <v>17</v>
      </c>
      <c r="V26" s="10" t="s">
        <v>2707</v>
      </c>
      <c r="W26" s="454" t="s">
        <v>2854</v>
      </c>
      <c r="X26" s="10" t="s">
        <v>3296</v>
      </c>
    </row>
    <row r="27" spans="1:24" ht="51">
      <c r="A27" s="12" t="s">
        <v>1546</v>
      </c>
      <c r="B27" s="10" t="s">
        <v>1546</v>
      </c>
      <c r="C27" s="12">
        <f>'Language 3'!C27</f>
        <v>0</v>
      </c>
      <c r="D27" s="10" t="s">
        <v>1494</v>
      </c>
      <c r="E27" s="12" t="s">
        <v>2208</v>
      </c>
      <c r="F27" s="10" t="s">
        <v>2651</v>
      </c>
      <c r="G27" s="462" t="s">
        <v>799</v>
      </c>
      <c r="H27" s="10" t="s">
        <v>669</v>
      </c>
      <c r="I27" s="454" t="s">
        <v>2009</v>
      </c>
      <c r="J27" s="10" t="s">
        <v>411</v>
      </c>
      <c r="K27" s="12" t="s">
        <v>2102</v>
      </c>
      <c r="L27" s="10" t="s">
        <v>925</v>
      </c>
      <c r="M27" s="455" t="s">
        <v>2268</v>
      </c>
      <c r="N27" s="10" t="s">
        <v>1033</v>
      </c>
      <c r="O27" s="12" t="s">
        <v>449</v>
      </c>
      <c r="P27" s="460" t="s">
        <v>484</v>
      </c>
      <c r="Q27" s="461" t="s">
        <v>2393</v>
      </c>
      <c r="R27" s="10" t="s">
        <v>2526</v>
      </c>
      <c r="S27" s="12" t="s">
        <v>186</v>
      </c>
      <c r="T27" s="10" t="s">
        <v>1834</v>
      </c>
      <c r="U27" s="12" t="s">
        <v>19</v>
      </c>
      <c r="V27" s="10" t="s">
        <v>2697</v>
      </c>
      <c r="W27" s="454" t="s">
        <v>2855</v>
      </c>
      <c r="X27" s="10" t="s">
        <v>3287</v>
      </c>
    </row>
    <row r="28" spans="1:24" ht="25.5">
      <c r="A28" s="12" t="s">
        <v>1560</v>
      </c>
      <c r="B28" s="10" t="s">
        <v>1560</v>
      </c>
      <c r="C28" s="12">
        <f>'Language 3'!C28</f>
        <v>0</v>
      </c>
      <c r="D28" s="10" t="s">
        <v>1505</v>
      </c>
      <c r="E28" s="12" t="s">
        <v>2216</v>
      </c>
      <c r="F28" s="10" t="s">
        <v>559</v>
      </c>
      <c r="G28" s="12" t="s">
        <v>272</v>
      </c>
      <c r="H28" s="10" t="s">
        <v>2030</v>
      </c>
      <c r="I28" s="454" t="s">
        <v>2328</v>
      </c>
      <c r="J28" s="10" t="s">
        <v>1369</v>
      </c>
      <c r="K28" s="12" t="s">
        <v>1716</v>
      </c>
      <c r="L28" s="10" t="s">
        <v>877</v>
      </c>
      <c r="M28" s="455" t="s">
        <v>2269</v>
      </c>
      <c r="N28" s="10" t="s">
        <v>681</v>
      </c>
      <c r="O28" s="12" t="s">
        <v>460</v>
      </c>
      <c r="P28" s="464" t="s">
        <v>493</v>
      </c>
      <c r="Q28" s="461" t="s">
        <v>2394</v>
      </c>
      <c r="R28" s="10" t="s">
        <v>2527</v>
      </c>
      <c r="S28" s="12" t="s">
        <v>2235</v>
      </c>
      <c r="T28" s="10" t="s">
        <v>1842</v>
      </c>
      <c r="U28" s="12" t="s">
        <v>20</v>
      </c>
      <c r="V28" s="10" t="s">
        <v>2708</v>
      </c>
      <c r="W28" s="454" t="s">
        <v>2856</v>
      </c>
      <c r="X28" s="10" t="s">
        <v>3297</v>
      </c>
    </row>
    <row r="29" spans="1:24" ht="25.5">
      <c r="A29" s="12" t="s">
        <v>1559</v>
      </c>
      <c r="B29" s="10" t="s">
        <v>1559</v>
      </c>
      <c r="C29" s="12">
        <f>'Language 3'!C29</f>
        <v>0</v>
      </c>
      <c r="D29" s="10" t="s">
        <v>1506</v>
      </c>
      <c r="E29" s="12" t="s">
        <v>2217</v>
      </c>
      <c r="F29" s="10" t="s">
        <v>560</v>
      </c>
      <c r="G29" s="12" t="s">
        <v>273</v>
      </c>
      <c r="H29" s="10" t="s">
        <v>2031</v>
      </c>
      <c r="I29" s="454" t="s">
        <v>2329</v>
      </c>
      <c r="J29" s="10" t="s">
        <v>1370</v>
      </c>
      <c r="K29" s="12" t="s">
        <v>1717</v>
      </c>
      <c r="L29" s="10" t="s">
        <v>878</v>
      </c>
      <c r="M29" s="455" t="s">
        <v>2270</v>
      </c>
      <c r="N29" s="10" t="s">
        <v>1044</v>
      </c>
      <c r="O29" s="12" t="s">
        <v>461</v>
      </c>
      <c r="P29" s="460" t="s">
        <v>494</v>
      </c>
      <c r="Q29" s="461" t="s">
        <v>2395</v>
      </c>
      <c r="R29" s="10" t="s">
        <v>2528</v>
      </c>
      <c r="S29" s="12" t="s">
        <v>2236</v>
      </c>
      <c r="T29" s="10" t="s">
        <v>1843</v>
      </c>
      <c r="U29" s="12" t="s">
        <v>21</v>
      </c>
      <c r="V29" s="10" t="s">
        <v>2709</v>
      </c>
      <c r="W29" s="454" t="s">
        <v>2857</v>
      </c>
      <c r="X29" s="10" t="s">
        <v>3298</v>
      </c>
    </row>
    <row r="30" spans="1:24" ht="25.5">
      <c r="A30" s="12" t="s">
        <v>1555</v>
      </c>
      <c r="B30" s="10" t="s">
        <v>1555</v>
      </c>
      <c r="C30" s="12">
        <f>'Language 3'!C30</f>
        <v>0</v>
      </c>
      <c r="D30" s="10" t="s">
        <v>1507</v>
      </c>
      <c r="E30" s="12" t="s">
        <v>2218</v>
      </c>
      <c r="F30" s="10" t="s">
        <v>561</v>
      </c>
      <c r="G30" s="12" t="s">
        <v>274</v>
      </c>
      <c r="H30" s="10" t="s">
        <v>2032</v>
      </c>
      <c r="I30" s="454" t="s">
        <v>1695</v>
      </c>
      <c r="J30" s="10" t="s">
        <v>919</v>
      </c>
      <c r="K30" s="12" t="s">
        <v>1718</v>
      </c>
      <c r="L30" s="10" t="s">
        <v>879</v>
      </c>
      <c r="M30" s="455" t="s">
        <v>556</v>
      </c>
      <c r="N30" s="10" t="s">
        <v>1045</v>
      </c>
      <c r="O30" s="12" t="s">
        <v>462</v>
      </c>
      <c r="P30" s="460" t="s">
        <v>495</v>
      </c>
      <c r="Q30" s="461" t="s">
        <v>2396</v>
      </c>
      <c r="R30" s="10" t="s">
        <v>2529</v>
      </c>
      <c r="S30" s="12" t="s">
        <v>1815</v>
      </c>
      <c r="T30" s="10" t="s">
        <v>1844</v>
      </c>
      <c r="U30" s="12" t="s">
        <v>22</v>
      </c>
      <c r="V30" s="10" t="s">
        <v>2710</v>
      </c>
      <c r="W30" s="454" t="s">
        <v>2858</v>
      </c>
      <c r="X30" s="10" t="s">
        <v>3299</v>
      </c>
    </row>
    <row r="31" spans="1:24" ht="18">
      <c r="A31" s="12" t="s">
        <v>1228</v>
      </c>
      <c r="B31" s="10" t="s">
        <v>1228</v>
      </c>
      <c r="C31" s="12">
        <f>'Language 3'!C31</f>
        <v>0</v>
      </c>
      <c r="D31" s="10" t="s">
        <v>1229</v>
      </c>
      <c r="E31" s="12" t="s">
        <v>1230</v>
      </c>
      <c r="F31" s="10" t="s">
        <v>1231</v>
      </c>
      <c r="G31" s="12" t="s">
        <v>1232</v>
      </c>
      <c r="H31" s="10" t="s">
        <v>1233</v>
      </c>
      <c r="I31" s="454" t="s">
        <v>1234</v>
      </c>
      <c r="J31" s="10" t="s">
        <v>1235</v>
      </c>
      <c r="K31" s="12" t="s">
        <v>1236</v>
      </c>
      <c r="L31" s="10" t="s">
        <v>1237</v>
      </c>
      <c r="M31" s="455" t="s">
        <v>1238</v>
      </c>
      <c r="N31" s="10" t="s">
        <v>1239</v>
      </c>
      <c r="O31" s="12" t="s">
        <v>1845</v>
      </c>
      <c r="P31" s="460" t="s">
        <v>496</v>
      </c>
      <c r="Q31" s="461" t="s">
        <v>1228</v>
      </c>
      <c r="R31" s="10" t="s">
        <v>1228</v>
      </c>
      <c r="S31" s="12" t="s">
        <v>2237</v>
      </c>
      <c r="T31" s="10" t="s">
        <v>1845</v>
      </c>
      <c r="U31" s="12" t="s">
        <v>23</v>
      </c>
      <c r="V31" s="10" t="s">
        <v>2711</v>
      </c>
      <c r="W31" s="454" t="s">
        <v>2859</v>
      </c>
      <c r="X31" s="10" t="s">
        <v>3300</v>
      </c>
    </row>
    <row r="32" spans="1:24" ht="18">
      <c r="A32" s="12" t="s">
        <v>905</v>
      </c>
      <c r="B32" s="10" t="s">
        <v>905</v>
      </c>
      <c r="C32" s="12">
        <f>'Language 3'!C32</f>
        <v>0</v>
      </c>
      <c r="D32" s="10" t="s">
        <v>1508</v>
      </c>
      <c r="E32" s="12" t="s">
        <v>2219</v>
      </c>
      <c r="F32" s="10" t="s">
        <v>562</v>
      </c>
      <c r="G32" s="12" t="s">
        <v>275</v>
      </c>
      <c r="H32" s="10" t="s">
        <v>2033</v>
      </c>
      <c r="I32" s="454" t="s">
        <v>2330</v>
      </c>
      <c r="J32" s="10" t="s">
        <v>1371</v>
      </c>
      <c r="K32" s="12" t="s">
        <v>1719</v>
      </c>
      <c r="L32" s="10" t="s">
        <v>880</v>
      </c>
      <c r="M32" s="455" t="s">
        <v>2272</v>
      </c>
      <c r="N32" s="10" t="s">
        <v>1046</v>
      </c>
      <c r="O32" s="12" t="s">
        <v>464</v>
      </c>
      <c r="P32" s="468" t="s">
        <v>497</v>
      </c>
      <c r="Q32" s="469" t="s">
        <v>2397</v>
      </c>
      <c r="R32" s="10" t="s">
        <v>2530</v>
      </c>
      <c r="S32" s="12" t="s">
        <v>2238</v>
      </c>
      <c r="T32" s="10" t="s">
        <v>1846</v>
      </c>
      <c r="U32" s="12" t="s">
        <v>24</v>
      </c>
      <c r="V32" s="10" t="s">
        <v>2712</v>
      </c>
      <c r="W32" s="454" t="s">
        <v>2860</v>
      </c>
      <c r="X32" s="10" t="s">
        <v>3301</v>
      </c>
    </row>
    <row r="33" spans="1:24" ht="36">
      <c r="A33" s="12" t="s">
        <v>2336</v>
      </c>
      <c r="B33" s="10" t="s">
        <v>2336</v>
      </c>
      <c r="C33" s="12">
        <f>'Language 3'!C33</f>
        <v>0</v>
      </c>
      <c r="D33" s="10" t="s">
        <v>1509</v>
      </c>
      <c r="E33" s="12" t="s">
        <v>2220</v>
      </c>
      <c r="F33" s="10" t="s">
        <v>177</v>
      </c>
      <c r="G33" s="12" t="s">
        <v>178</v>
      </c>
      <c r="H33" s="10" t="s">
        <v>889</v>
      </c>
      <c r="I33" s="454" t="s">
        <v>1694</v>
      </c>
      <c r="J33" s="10" t="s">
        <v>1531</v>
      </c>
      <c r="K33" s="12" t="s">
        <v>1720</v>
      </c>
      <c r="L33" s="10" t="s">
        <v>881</v>
      </c>
      <c r="M33" s="455" t="s">
        <v>2317</v>
      </c>
      <c r="N33" s="10" t="s">
        <v>682</v>
      </c>
      <c r="O33" s="12" t="s">
        <v>1471</v>
      </c>
      <c r="P33" s="460" t="s">
        <v>498</v>
      </c>
      <c r="Q33" s="461" t="s">
        <v>2398</v>
      </c>
      <c r="R33" s="10" t="s">
        <v>2531</v>
      </c>
      <c r="S33" s="12" t="s">
        <v>187</v>
      </c>
      <c r="T33" s="10" t="s">
        <v>1847</v>
      </c>
      <c r="U33" s="12" t="s">
        <v>25</v>
      </c>
      <c r="V33" s="10" t="s">
        <v>2713</v>
      </c>
      <c r="W33" s="454" t="s">
        <v>2858</v>
      </c>
      <c r="X33" s="10" t="s">
        <v>3302</v>
      </c>
    </row>
    <row r="34" spans="1:24" ht="18">
      <c r="A34" s="12" t="s">
        <v>1065</v>
      </c>
      <c r="B34" s="10" t="s">
        <v>1065</v>
      </c>
      <c r="C34" s="12">
        <f>'Language 3'!C34</f>
        <v>0</v>
      </c>
      <c r="D34" s="10" t="s">
        <v>1510</v>
      </c>
      <c r="E34" s="12" t="s">
        <v>2221</v>
      </c>
      <c r="F34" s="10" t="s">
        <v>563</v>
      </c>
      <c r="G34" s="12" t="s">
        <v>276</v>
      </c>
      <c r="H34" s="10" t="s">
        <v>2034</v>
      </c>
      <c r="I34" s="454" t="s">
        <v>1721</v>
      </c>
      <c r="J34" s="10" t="s">
        <v>1372</v>
      </c>
      <c r="K34" s="12" t="s">
        <v>1721</v>
      </c>
      <c r="L34" s="10" t="s">
        <v>882</v>
      </c>
      <c r="M34" s="455" t="s">
        <v>850</v>
      </c>
      <c r="N34" s="10" t="s">
        <v>1047</v>
      </c>
      <c r="O34" s="12" t="s">
        <v>465</v>
      </c>
      <c r="P34" s="464" t="s">
        <v>2121</v>
      </c>
      <c r="Q34" s="461" t="s">
        <v>2399</v>
      </c>
      <c r="R34" s="10" t="s">
        <v>2399</v>
      </c>
      <c r="S34" s="12" t="s">
        <v>2239</v>
      </c>
      <c r="T34" s="10" t="s">
        <v>465</v>
      </c>
      <c r="U34" s="12" t="s">
        <v>26</v>
      </c>
      <c r="V34" s="10" t="s">
        <v>2714</v>
      </c>
      <c r="W34" s="454" t="s">
        <v>2861</v>
      </c>
      <c r="X34" s="10" t="s">
        <v>3303</v>
      </c>
    </row>
    <row r="35" spans="1:24" ht="18">
      <c r="A35" s="12" t="s">
        <v>1066</v>
      </c>
      <c r="B35" s="10" t="s">
        <v>1066</v>
      </c>
      <c r="C35" s="12">
        <f>'Language 3'!C35</f>
        <v>0</v>
      </c>
      <c r="D35" s="10" t="s">
        <v>1511</v>
      </c>
      <c r="E35" s="12" t="s">
        <v>2222</v>
      </c>
      <c r="F35" s="10" t="s">
        <v>564</v>
      </c>
      <c r="G35" s="12" t="s">
        <v>277</v>
      </c>
      <c r="H35" s="10" t="s">
        <v>2035</v>
      </c>
      <c r="I35" s="454" t="s">
        <v>1722</v>
      </c>
      <c r="J35" s="10" t="s">
        <v>1373</v>
      </c>
      <c r="K35" s="12" t="s">
        <v>1722</v>
      </c>
      <c r="L35" s="10" t="s">
        <v>883</v>
      </c>
      <c r="M35" s="455" t="s">
        <v>851</v>
      </c>
      <c r="N35" s="10" t="s">
        <v>1048</v>
      </c>
      <c r="O35" s="12" t="s">
        <v>466</v>
      </c>
      <c r="P35" s="464" t="s">
        <v>2122</v>
      </c>
      <c r="Q35" s="461" t="s">
        <v>2400</v>
      </c>
      <c r="R35" s="10" t="s">
        <v>2400</v>
      </c>
      <c r="S35" s="12" t="s">
        <v>2240</v>
      </c>
      <c r="T35" s="10" t="s">
        <v>466</v>
      </c>
      <c r="U35" s="12" t="s">
        <v>27</v>
      </c>
      <c r="V35" s="10" t="s">
        <v>2715</v>
      </c>
      <c r="W35" s="454" t="s">
        <v>2862</v>
      </c>
      <c r="X35" s="10" t="s">
        <v>3304</v>
      </c>
    </row>
    <row r="36" spans="1:24" ht="18">
      <c r="A36" s="12" t="s">
        <v>2661</v>
      </c>
      <c r="B36" s="10" t="s">
        <v>2661</v>
      </c>
      <c r="C36" s="12">
        <f>'Language 3'!C36</f>
        <v>0</v>
      </c>
      <c r="D36" s="10" t="s">
        <v>1512</v>
      </c>
      <c r="E36" s="12" t="s">
        <v>2223</v>
      </c>
      <c r="F36" s="10" t="s">
        <v>2652</v>
      </c>
      <c r="G36" s="12" t="s">
        <v>278</v>
      </c>
      <c r="H36" s="10" t="s">
        <v>2036</v>
      </c>
      <c r="I36" s="454" t="s">
        <v>2331</v>
      </c>
      <c r="J36" s="10" t="s">
        <v>1374</v>
      </c>
      <c r="K36" s="12" t="s">
        <v>1723</v>
      </c>
      <c r="L36" s="10" t="s">
        <v>884</v>
      </c>
      <c r="M36" s="455" t="s">
        <v>852</v>
      </c>
      <c r="N36" s="10" t="s">
        <v>1049</v>
      </c>
      <c r="O36" s="12" t="s">
        <v>467</v>
      </c>
      <c r="P36" s="460" t="s">
        <v>499</v>
      </c>
      <c r="Q36" s="461" t="s">
        <v>499</v>
      </c>
      <c r="R36" s="10" t="s">
        <v>2532</v>
      </c>
      <c r="S36" s="12" t="s">
        <v>188</v>
      </c>
      <c r="T36" s="10" t="s">
        <v>1848</v>
      </c>
      <c r="U36" s="12" t="s">
        <v>28</v>
      </c>
      <c r="V36" s="10" t="s">
        <v>2716</v>
      </c>
      <c r="W36" s="454" t="s">
        <v>2863</v>
      </c>
      <c r="X36" s="10" t="s">
        <v>3305</v>
      </c>
    </row>
    <row r="37" spans="1:24" ht="25.5">
      <c r="A37" s="12" t="s">
        <v>819</v>
      </c>
      <c r="B37" s="10" t="s">
        <v>1060</v>
      </c>
      <c r="C37" s="12">
        <f>'Language 3'!C37</f>
        <v>0</v>
      </c>
      <c r="D37" s="10" t="s">
        <v>1513</v>
      </c>
      <c r="E37" s="12" t="s">
        <v>2224</v>
      </c>
      <c r="F37" s="10" t="s">
        <v>565</v>
      </c>
      <c r="G37" s="12" t="s">
        <v>279</v>
      </c>
      <c r="H37" s="10" t="s">
        <v>2037</v>
      </c>
      <c r="I37" s="463" t="s">
        <v>3177</v>
      </c>
      <c r="J37" s="10" t="s">
        <v>1375</v>
      </c>
      <c r="K37" s="12" t="s">
        <v>589</v>
      </c>
      <c r="L37" s="10" t="s">
        <v>885</v>
      </c>
      <c r="M37" s="455" t="s">
        <v>853</v>
      </c>
      <c r="N37" s="10" t="s">
        <v>1050</v>
      </c>
      <c r="O37" s="12" t="s">
        <v>468</v>
      </c>
      <c r="P37" s="460" t="s">
        <v>2123</v>
      </c>
      <c r="Q37" s="461" t="s">
        <v>2388</v>
      </c>
      <c r="R37" s="10" t="s">
        <v>2521</v>
      </c>
      <c r="S37" s="12" t="s">
        <v>189</v>
      </c>
      <c r="T37" s="10" t="s">
        <v>1849</v>
      </c>
      <c r="U37" s="12" t="s">
        <v>29</v>
      </c>
      <c r="V37" s="10" t="s">
        <v>2717</v>
      </c>
      <c r="W37" s="454" t="s">
        <v>2864</v>
      </c>
      <c r="X37" s="10" t="s">
        <v>3306</v>
      </c>
    </row>
    <row r="38" spans="1:24" ht="38.25">
      <c r="A38" s="12" t="s">
        <v>820</v>
      </c>
      <c r="B38" s="10" t="s">
        <v>1063</v>
      </c>
      <c r="C38" s="12">
        <f>'Language 3'!C38</f>
        <v>0</v>
      </c>
      <c r="D38" s="10" t="s">
        <v>1514</v>
      </c>
      <c r="E38" s="12" t="s">
        <v>750</v>
      </c>
      <c r="F38" s="10" t="s">
        <v>566</v>
      </c>
      <c r="G38" s="12" t="s">
        <v>280</v>
      </c>
      <c r="H38" s="10" t="s">
        <v>2038</v>
      </c>
      <c r="I38" s="463" t="s">
        <v>3178</v>
      </c>
      <c r="J38" s="10" t="s">
        <v>1376</v>
      </c>
      <c r="K38" s="12" t="s">
        <v>590</v>
      </c>
      <c r="L38" s="10" t="s">
        <v>886</v>
      </c>
      <c r="M38" s="455" t="s">
        <v>854</v>
      </c>
      <c r="N38" s="10" t="s">
        <v>676</v>
      </c>
      <c r="O38" s="12" t="s">
        <v>469</v>
      </c>
      <c r="P38" s="460" t="s">
        <v>2124</v>
      </c>
      <c r="Q38" s="461" t="s">
        <v>2401</v>
      </c>
      <c r="R38" s="10" t="s">
        <v>2533</v>
      </c>
      <c r="S38" s="12" t="s">
        <v>190</v>
      </c>
      <c r="T38" s="10" t="s">
        <v>1850</v>
      </c>
      <c r="U38" s="12" t="s">
        <v>2676</v>
      </c>
      <c r="V38" s="10" t="s">
        <v>2718</v>
      </c>
      <c r="W38" s="454" t="s">
        <v>2865</v>
      </c>
      <c r="X38" s="10" t="s">
        <v>3307</v>
      </c>
    </row>
    <row r="39" spans="1:24" ht="51">
      <c r="A39" s="12" t="s">
        <v>821</v>
      </c>
      <c r="B39" s="10" t="s">
        <v>1609</v>
      </c>
      <c r="C39" s="12">
        <f>'Language 3'!C39</f>
        <v>0</v>
      </c>
      <c r="D39" s="10" t="s">
        <v>1515</v>
      </c>
      <c r="E39" s="12" t="s">
        <v>2225</v>
      </c>
      <c r="F39" s="10" t="s">
        <v>567</v>
      </c>
      <c r="G39" s="12" t="s">
        <v>281</v>
      </c>
      <c r="H39" s="10" t="s">
        <v>2039</v>
      </c>
      <c r="I39" s="463" t="s">
        <v>3179</v>
      </c>
      <c r="J39" s="10" t="s">
        <v>1377</v>
      </c>
      <c r="K39" s="12" t="s">
        <v>591</v>
      </c>
      <c r="L39" s="10" t="s">
        <v>887</v>
      </c>
      <c r="M39" s="455" t="s">
        <v>855</v>
      </c>
      <c r="N39" s="10" t="s">
        <v>677</v>
      </c>
      <c r="O39" s="12" t="s">
        <v>470</v>
      </c>
      <c r="P39" s="460" t="s">
        <v>2125</v>
      </c>
      <c r="Q39" s="461" t="s">
        <v>2402</v>
      </c>
      <c r="R39" s="10" t="s">
        <v>2534</v>
      </c>
      <c r="S39" s="12" t="s">
        <v>191</v>
      </c>
      <c r="T39" s="10" t="s">
        <v>1851</v>
      </c>
      <c r="U39" s="12" t="s">
        <v>2677</v>
      </c>
      <c r="V39" s="10" t="s">
        <v>2719</v>
      </c>
      <c r="W39" s="454" t="s">
        <v>2866</v>
      </c>
      <c r="X39" s="10" t="s">
        <v>3308</v>
      </c>
    </row>
    <row r="40" spans="1:24" ht="25.5">
      <c r="A40" s="12" t="s">
        <v>1598</v>
      </c>
      <c r="B40" s="10" t="s">
        <v>1598</v>
      </c>
      <c r="C40" s="12">
        <f>'Language 3'!C40</f>
        <v>0</v>
      </c>
      <c r="D40" s="10" t="s">
        <v>1516</v>
      </c>
      <c r="E40" s="12" t="s">
        <v>751</v>
      </c>
      <c r="F40" s="10" t="s">
        <v>568</v>
      </c>
      <c r="G40" s="12" t="s">
        <v>282</v>
      </c>
      <c r="H40" s="10" t="s">
        <v>2040</v>
      </c>
      <c r="I40" s="454" t="s">
        <v>2332</v>
      </c>
      <c r="J40" s="10" t="s">
        <v>1378</v>
      </c>
      <c r="K40" s="12" t="s">
        <v>1724</v>
      </c>
      <c r="L40" s="10" t="s">
        <v>1569</v>
      </c>
      <c r="M40" s="455" t="s">
        <v>856</v>
      </c>
      <c r="N40" s="10" t="s">
        <v>678</v>
      </c>
      <c r="O40" s="12" t="s">
        <v>471</v>
      </c>
      <c r="P40" s="460" t="s">
        <v>500</v>
      </c>
      <c r="Q40" s="461" t="s">
        <v>2403</v>
      </c>
      <c r="R40" s="10" t="s">
        <v>2535</v>
      </c>
      <c r="S40" s="12" t="s">
        <v>1105</v>
      </c>
      <c r="T40" s="10" t="s">
        <v>1852</v>
      </c>
      <c r="U40" s="12" t="s">
        <v>30</v>
      </c>
      <c r="V40" s="10" t="s">
        <v>2720</v>
      </c>
      <c r="W40" s="454" t="s">
        <v>2867</v>
      </c>
      <c r="X40" s="10" t="s">
        <v>3309</v>
      </c>
    </row>
    <row r="41" spans="1:24" ht="25.5">
      <c r="A41" s="12" t="s">
        <v>1732</v>
      </c>
      <c r="B41" s="10" t="s">
        <v>1732</v>
      </c>
      <c r="C41" s="12">
        <f>'Language 3'!C41</f>
        <v>0</v>
      </c>
      <c r="D41" s="10" t="s">
        <v>1517</v>
      </c>
      <c r="E41" s="12" t="s">
        <v>752</v>
      </c>
      <c r="F41" s="10" t="s">
        <v>569</v>
      </c>
      <c r="G41" s="12" t="s">
        <v>283</v>
      </c>
      <c r="H41" s="10" t="s">
        <v>2041</v>
      </c>
      <c r="I41" s="454" t="s">
        <v>2333</v>
      </c>
      <c r="J41" s="10" t="s">
        <v>1379</v>
      </c>
      <c r="K41" s="12" t="s">
        <v>1725</v>
      </c>
      <c r="L41" s="10" t="s">
        <v>1570</v>
      </c>
      <c r="M41" s="455" t="s">
        <v>857</v>
      </c>
      <c r="N41" s="10" t="s">
        <v>679</v>
      </c>
      <c r="O41" s="12" t="s">
        <v>472</v>
      </c>
      <c r="P41" s="460" t="s">
        <v>501</v>
      </c>
      <c r="Q41" s="461" t="s">
        <v>2404</v>
      </c>
      <c r="R41" s="10" t="s">
        <v>2536</v>
      </c>
      <c r="S41" s="12" t="s">
        <v>2241</v>
      </c>
      <c r="T41" s="10" t="s">
        <v>1853</v>
      </c>
      <c r="U41" s="12" t="s">
        <v>2678</v>
      </c>
      <c r="V41" s="10" t="s">
        <v>2721</v>
      </c>
      <c r="W41" s="454" t="s">
        <v>2868</v>
      </c>
      <c r="X41" s="10" t="s">
        <v>3310</v>
      </c>
    </row>
    <row r="42" spans="1:24" ht="25.5">
      <c r="A42" s="470" t="s">
        <v>1998</v>
      </c>
      <c r="B42" s="10" t="s">
        <v>1998</v>
      </c>
      <c r="C42" s="12">
        <f>'Language 3'!C42</f>
        <v>0</v>
      </c>
      <c r="D42" s="10" t="s">
        <v>1518</v>
      </c>
      <c r="E42" s="12" t="s">
        <v>1998</v>
      </c>
      <c r="F42" s="10" t="s">
        <v>570</v>
      </c>
      <c r="G42" s="12" t="s">
        <v>284</v>
      </c>
      <c r="H42" s="10" t="s">
        <v>2042</v>
      </c>
      <c r="I42" s="463" t="s">
        <v>3180</v>
      </c>
      <c r="J42" s="10" t="s">
        <v>1380</v>
      </c>
      <c r="K42" s="12" t="s">
        <v>1726</v>
      </c>
      <c r="L42" s="10" t="s">
        <v>1571</v>
      </c>
      <c r="M42" s="455" t="s">
        <v>858</v>
      </c>
      <c r="N42" s="10" t="s">
        <v>680</v>
      </c>
      <c r="O42" s="12" t="s">
        <v>473</v>
      </c>
      <c r="P42" s="460" t="s">
        <v>502</v>
      </c>
      <c r="Q42" s="461" t="s">
        <v>2405</v>
      </c>
      <c r="R42" s="10" t="s">
        <v>2537</v>
      </c>
      <c r="S42" s="12" t="s">
        <v>2242</v>
      </c>
      <c r="T42" s="10" t="s">
        <v>473</v>
      </c>
      <c r="U42" s="12" t="s">
        <v>31</v>
      </c>
      <c r="V42" s="10" t="s">
        <v>2722</v>
      </c>
      <c r="W42" s="454" t="s">
        <v>2869</v>
      </c>
      <c r="X42" s="10" t="s">
        <v>1998</v>
      </c>
    </row>
    <row r="43" spans="1:24" ht="25.5">
      <c r="A43" s="470" t="s">
        <v>3067</v>
      </c>
      <c r="B43" s="10" t="s">
        <v>3067</v>
      </c>
      <c r="C43" s="12">
        <f>'Language 3'!C43</f>
        <v>0</v>
      </c>
      <c r="D43" s="10" t="s">
        <v>1519</v>
      </c>
      <c r="E43" s="470" t="s">
        <v>3164</v>
      </c>
      <c r="F43" s="10" t="s">
        <v>571</v>
      </c>
      <c r="G43" s="12" t="s">
        <v>285</v>
      </c>
      <c r="H43" s="10" t="s">
        <v>2043</v>
      </c>
      <c r="I43" s="463" t="s">
        <v>3181</v>
      </c>
      <c r="J43" s="10" t="s">
        <v>1381</v>
      </c>
      <c r="K43" s="12" t="s">
        <v>1727</v>
      </c>
      <c r="L43" s="10" t="s">
        <v>1572</v>
      </c>
      <c r="M43" s="455" t="s">
        <v>859</v>
      </c>
      <c r="N43" s="10" t="s">
        <v>683</v>
      </c>
      <c r="O43" s="12" t="s">
        <v>474</v>
      </c>
      <c r="P43" s="460" t="s">
        <v>503</v>
      </c>
      <c r="Q43" s="461" t="s">
        <v>2406</v>
      </c>
      <c r="R43" s="10" t="s">
        <v>2538</v>
      </c>
      <c r="S43" s="12" t="s">
        <v>1106</v>
      </c>
      <c r="T43" s="10" t="s">
        <v>474</v>
      </c>
      <c r="U43" s="12" t="s">
        <v>32</v>
      </c>
      <c r="V43" s="10" t="s">
        <v>2723</v>
      </c>
      <c r="W43" s="454" t="s">
        <v>2870</v>
      </c>
      <c r="X43" s="10" t="s">
        <v>3311</v>
      </c>
    </row>
    <row r="44" spans="1:24" ht="25.5">
      <c r="A44" s="12" t="s">
        <v>1562</v>
      </c>
      <c r="B44" s="10" t="s">
        <v>1562</v>
      </c>
      <c r="C44" s="12">
        <f>'Language 3'!C44</f>
        <v>0</v>
      </c>
      <c r="D44" s="10" t="s">
        <v>2050</v>
      </c>
      <c r="E44" s="12" t="s">
        <v>753</v>
      </c>
      <c r="F44" s="10" t="s">
        <v>1752</v>
      </c>
      <c r="G44" s="12" t="s">
        <v>1753</v>
      </c>
      <c r="H44" s="10" t="s">
        <v>2044</v>
      </c>
      <c r="I44" s="454" t="s">
        <v>1532</v>
      </c>
      <c r="J44" s="10" t="s">
        <v>1653</v>
      </c>
      <c r="K44" s="12" t="s">
        <v>1534</v>
      </c>
      <c r="L44" s="10" t="s">
        <v>1573</v>
      </c>
      <c r="M44" s="455" t="s">
        <v>860</v>
      </c>
      <c r="N44" s="10" t="s">
        <v>684</v>
      </c>
      <c r="O44" s="12" t="s">
        <v>475</v>
      </c>
      <c r="P44" s="460" t="s">
        <v>504</v>
      </c>
      <c r="Q44" s="461" t="s">
        <v>2407</v>
      </c>
      <c r="R44" s="10" t="s">
        <v>2539</v>
      </c>
      <c r="S44" s="12" t="s">
        <v>209</v>
      </c>
      <c r="T44" s="10" t="s">
        <v>1854</v>
      </c>
      <c r="U44" s="12" t="s">
        <v>33</v>
      </c>
      <c r="V44" s="10" t="s">
        <v>2724</v>
      </c>
      <c r="W44" s="454" t="s">
        <v>2871</v>
      </c>
      <c r="X44" s="10" t="s">
        <v>3312</v>
      </c>
    </row>
    <row r="45" spans="1:24" ht="18">
      <c r="A45" s="12" t="s">
        <v>901</v>
      </c>
      <c r="B45" s="10" t="s">
        <v>901</v>
      </c>
      <c r="C45" s="12">
        <f>'Language 3'!C45</f>
        <v>0</v>
      </c>
      <c r="D45" s="10" t="s">
        <v>2051</v>
      </c>
      <c r="E45" s="12" t="s">
        <v>754</v>
      </c>
      <c r="F45" s="10" t="s">
        <v>1754</v>
      </c>
      <c r="G45" s="12" t="s">
        <v>1755</v>
      </c>
      <c r="H45" s="10" t="s">
        <v>2045</v>
      </c>
      <c r="I45" s="454" t="s">
        <v>1533</v>
      </c>
      <c r="J45" s="10" t="s">
        <v>1654</v>
      </c>
      <c r="K45" s="12" t="s">
        <v>1535</v>
      </c>
      <c r="L45" s="10" t="s">
        <v>1574</v>
      </c>
      <c r="M45" s="455" t="s">
        <v>861</v>
      </c>
      <c r="N45" s="10" t="s">
        <v>685</v>
      </c>
      <c r="O45" s="12" t="s">
        <v>476</v>
      </c>
      <c r="P45" s="460" t="s">
        <v>505</v>
      </c>
      <c r="Q45" s="461" t="s">
        <v>2408</v>
      </c>
      <c r="R45" s="10" t="s">
        <v>2540</v>
      </c>
      <c r="S45" s="12" t="s">
        <v>210</v>
      </c>
      <c r="T45" s="10" t="s">
        <v>1855</v>
      </c>
      <c r="U45" s="12" t="s">
        <v>34</v>
      </c>
      <c r="V45" s="10" t="s">
        <v>2725</v>
      </c>
      <c r="W45" s="454" t="s">
        <v>2872</v>
      </c>
      <c r="X45" s="10" t="s">
        <v>3313</v>
      </c>
    </row>
    <row r="46" spans="1:24" ht="51">
      <c r="A46" s="12" t="s">
        <v>1240</v>
      </c>
      <c r="B46" s="10" t="s">
        <v>1242</v>
      </c>
      <c r="C46" s="12">
        <f>'Language 3'!C46</f>
        <v>0</v>
      </c>
      <c r="D46" s="10" t="s">
        <v>2052</v>
      </c>
      <c r="E46" s="12" t="s">
        <v>288</v>
      </c>
      <c r="F46" s="10" t="s">
        <v>290</v>
      </c>
      <c r="G46" s="12" t="s">
        <v>827</v>
      </c>
      <c r="H46" s="10" t="s">
        <v>829</v>
      </c>
      <c r="I46" s="454" t="s">
        <v>831</v>
      </c>
      <c r="J46" s="10" t="s">
        <v>833</v>
      </c>
      <c r="K46" s="12" t="s">
        <v>592</v>
      </c>
      <c r="L46" s="10" t="s">
        <v>835</v>
      </c>
      <c r="M46" s="455" t="s">
        <v>837</v>
      </c>
      <c r="N46" s="10" t="s">
        <v>839</v>
      </c>
      <c r="O46" s="12" t="s">
        <v>791</v>
      </c>
      <c r="P46" s="460" t="s">
        <v>2126</v>
      </c>
      <c r="Q46" s="461" t="s">
        <v>2409</v>
      </c>
      <c r="R46" s="10" t="s">
        <v>2541</v>
      </c>
      <c r="S46" s="12" t="s">
        <v>193</v>
      </c>
      <c r="T46" s="10" t="s">
        <v>1856</v>
      </c>
      <c r="U46" s="12" t="s">
        <v>35</v>
      </c>
      <c r="V46" s="10" t="s">
        <v>2726</v>
      </c>
      <c r="W46" s="454" t="s">
        <v>2873</v>
      </c>
      <c r="X46" s="10" t="s">
        <v>3314</v>
      </c>
    </row>
    <row r="47" spans="1:24" ht="54">
      <c r="A47" s="12" t="s">
        <v>1241</v>
      </c>
      <c r="B47" s="10" t="s">
        <v>287</v>
      </c>
      <c r="C47" s="12">
        <f>'Language 3'!C47</f>
        <v>0</v>
      </c>
      <c r="D47" s="10" t="s">
        <v>2053</v>
      </c>
      <c r="E47" s="12" t="s">
        <v>289</v>
      </c>
      <c r="F47" s="10" t="s">
        <v>291</v>
      </c>
      <c r="G47" s="12" t="s">
        <v>828</v>
      </c>
      <c r="H47" s="10" t="s">
        <v>830</v>
      </c>
      <c r="I47" s="463" t="s">
        <v>832</v>
      </c>
      <c r="J47" s="10" t="s">
        <v>834</v>
      </c>
      <c r="K47" s="12" t="s">
        <v>593</v>
      </c>
      <c r="L47" s="10" t="s">
        <v>836</v>
      </c>
      <c r="M47" s="455" t="s">
        <v>838</v>
      </c>
      <c r="N47" s="10" t="s">
        <v>840</v>
      </c>
      <c r="O47" s="12" t="s">
        <v>792</v>
      </c>
      <c r="P47" s="460" t="s">
        <v>2127</v>
      </c>
      <c r="Q47" s="461" t="s">
        <v>2410</v>
      </c>
      <c r="R47" s="10" t="s">
        <v>2542</v>
      </c>
      <c r="S47" s="12" t="s">
        <v>192</v>
      </c>
      <c r="T47" s="10" t="s">
        <v>1857</v>
      </c>
      <c r="U47" s="12" t="s">
        <v>36</v>
      </c>
      <c r="V47" s="10" t="s">
        <v>2727</v>
      </c>
      <c r="W47" s="454" t="s">
        <v>2874</v>
      </c>
      <c r="X47" s="10" t="s">
        <v>3315</v>
      </c>
    </row>
    <row r="48" spans="1:24" ht="139.5" customHeight="1">
      <c r="A48" s="12" t="s">
        <v>249</v>
      </c>
      <c r="B48" s="10" t="s">
        <v>250</v>
      </c>
      <c r="C48" s="12">
        <f>'Language 3'!C48</f>
        <v>0</v>
      </c>
      <c r="D48" s="10" t="s">
        <v>842</v>
      </c>
      <c r="E48" s="12" t="s">
        <v>755</v>
      </c>
      <c r="F48" s="10" t="s">
        <v>2653</v>
      </c>
      <c r="G48" s="12" t="s">
        <v>1310</v>
      </c>
      <c r="H48" s="10" t="s">
        <v>1731</v>
      </c>
      <c r="I48" s="463" t="s">
        <v>3182</v>
      </c>
      <c r="J48" s="10" t="s">
        <v>915</v>
      </c>
      <c r="K48" s="12" t="s">
        <v>1728</v>
      </c>
      <c r="L48" s="10" t="s">
        <v>1575</v>
      </c>
      <c r="M48" s="455" t="s">
        <v>1363</v>
      </c>
      <c r="N48" s="10" t="s">
        <v>686</v>
      </c>
      <c r="O48" s="12" t="s">
        <v>338</v>
      </c>
      <c r="P48" s="460" t="s">
        <v>506</v>
      </c>
      <c r="Q48" s="461" t="s">
        <v>2411</v>
      </c>
      <c r="R48" s="10" t="s">
        <v>2543</v>
      </c>
      <c r="S48" s="12" t="s">
        <v>194</v>
      </c>
      <c r="T48" s="10" t="s">
        <v>1902</v>
      </c>
      <c r="U48" s="12" t="s">
        <v>120</v>
      </c>
      <c r="V48" s="10" t="s">
        <v>2728</v>
      </c>
      <c r="W48" s="463" t="s">
        <v>2976</v>
      </c>
      <c r="X48" s="10" t="s">
        <v>3316</v>
      </c>
    </row>
    <row r="49" spans="1:24" ht="38.25">
      <c r="A49" s="12" t="s">
        <v>822</v>
      </c>
      <c r="B49" s="10" t="s">
        <v>1610</v>
      </c>
      <c r="C49" s="12">
        <f>'Language 3'!C49</f>
        <v>0</v>
      </c>
      <c r="D49" s="10" t="s">
        <v>2054</v>
      </c>
      <c r="E49" s="12" t="s">
        <v>756</v>
      </c>
      <c r="F49" s="10" t="s">
        <v>992</v>
      </c>
      <c r="G49" s="12" t="s">
        <v>1311</v>
      </c>
      <c r="H49" s="10" t="s">
        <v>1287</v>
      </c>
      <c r="I49" s="454" t="s">
        <v>1662</v>
      </c>
      <c r="J49" s="10" t="s">
        <v>1382</v>
      </c>
      <c r="K49" s="12" t="s">
        <v>1729</v>
      </c>
      <c r="L49" s="10" t="s">
        <v>1576</v>
      </c>
      <c r="M49" s="471" t="s">
        <v>2085</v>
      </c>
      <c r="N49" s="10" t="s">
        <v>687</v>
      </c>
      <c r="O49" s="12" t="s">
        <v>339</v>
      </c>
      <c r="P49" s="464" t="s">
        <v>2128</v>
      </c>
      <c r="Q49" s="461" t="s">
        <v>2412</v>
      </c>
      <c r="R49" s="10" t="s">
        <v>2544</v>
      </c>
      <c r="S49" s="12" t="s">
        <v>239</v>
      </c>
      <c r="T49" s="10" t="s">
        <v>383</v>
      </c>
      <c r="U49" s="12" t="s">
        <v>2679</v>
      </c>
      <c r="V49" s="10" t="s">
        <v>2729</v>
      </c>
      <c r="W49" s="454" t="s">
        <v>2875</v>
      </c>
      <c r="X49" s="10" t="s">
        <v>3317</v>
      </c>
    </row>
    <row r="50" spans="1:24" ht="37.5">
      <c r="A50" s="12" t="s">
        <v>1064</v>
      </c>
      <c r="B50" s="10" t="s">
        <v>1064</v>
      </c>
      <c r="C50" s="12">
        <f>'Language 3'!C50</f>
        <v>0</v>
      </c>
      <c r="D50" s="10" t="s">
        <v>2055</v>
      </c>
      <c r="E50" s="12" t="s">
        <v>1064</v>
      </c>
      <c r="F50" s="10" t="s">
        <v>572</v>
      </c>
      <c r="G50" s="12" t="s">
        <v>1312</v>
      </c>
      <c r="H50" s="10" t="s">
        <v>1288</v>
      </c>
      <c r="I50" s="463" t="s">
        <v>1663</v>
      </c>
      <c r="J50" s="10" t="s">
        <v>1383</v>
      </c>
      <c r="K50" s="12" t="s">
        <v>1730</v>
      </c>
      <c r="L50" s="10" t="s">
        <v>1577</v>
      </c>
      <c r="M50" s="471" t="s">
        <v>2086</v>
      </c>
      <c r="N50" s="10" t="s">
        <v>688</v>
      </c>
      <c r="O50" s="12" t="s">
        <v>340</v>
      </c>
      <c r="P50" s="464" t="s">
        <v>2129</v>
      </c>
      <c r="Q50" s="461" t="s">
        <v>2413</v>
      </c>
      <c r="R50" s="10" t="s">
        <v>2545</v>
      </c>
      <c r="S50" s="12" t="s">
        <v>195</v>
      </c>
      <c r="T50" s="10" t="s">
        <v>1903</v>
      </c>
      <c r="U50" s="12" t="s">
        <v>37</v>
      </c>
      <c r="V50" s="10" t="s">
        <v>2730</v>
      </c>
      <c r="W50" s="454" t="s">
        <v>2876</v>
      </c>
      <c r="X50" s="10" t="s">
        <v>3318</v>
      </c>
    </row>
    <row r="51" spans="1:24" ht="54">
      <c r="A51" s="12" t="s">
        <v>826</v>
      </c>
      <c r="B51" s="10" t="s">
        <v>1067</v>
      </c>
      <c r="C51" s="12">
        <f>'Language 3'!C51</f>
        <v>0</v>
      </c>
      <c r="D51" s="10" t="s">
        <v>2056</v>
      </c>
      <c r="E51" s="12" t="s">
        <v>757</v>
      </c>
      <c r="F51" s="10" t="s">
        <v>573</v>
      </c>
      <c r="G51" s="12" t="s">
        <v>1313</v>
      </c>
      <c r="H51" s="10" t="s">
        <v>1289</v>
      </c>
      <c r="I51" s="454" t="s">
        <v>1664</v>
      </c>
      <c r="J51" s="10" t="s">
        <v>223</v>
      </c>
      <c r="K51" s="12" t="s">
        <v>2243</v>
      </c>
      <c r="L51" s="10" t="s">
        <v>1578</v>
      </c>
      <c r="M51" s="455" t="s">
        <v>2087</v>
      </c>
      <c r="N51" s="10" t="s">
        <v>689</v>
      </c>
      <c r="O51" s="12" t="s">
        <v>341</v>
      </c>
      <c r="P51" s="464" t="s">
        <v>2130</v>
      </c>
      <c r="Q51" s="461" t="s">
        <v>2414</v>
      </c>
      <c r="R51" s="10" t="s">
        <v>2546</v>
      </c>
      <c r="S51" s="12" t="s">
        <v>1139</v>
      </c>
      <c r="T51" s="10" t="s">
        <v>1904</v>
      </c>
      <c r="U51" s="12" t="s">
        <v>38</v>
      </c>
      <c r="V51" s="10" t="s">
        <v>2731</v>
      </c>
      <c r="W51" s="454" t="s">
        <v>2877</v>
      </c>
      <c r="X51" s="10" t="s">
        <v>3319</v>
      </c>
    </row>
    <row r="52" spans="1:24" ht="54">
      <c r="A52" s="12" t="s">
        <v>1611</v>
      </c>
      <c r="B52" s="10" t="s">
        <v>1611</v>
      </c>
      <c r="C52" s="12">
        <f>'Language 3'!C52</f>
        <v>0</v>
      </c>
      <c r="D52" s="10" t="s">
        <v>2057</v>
      </c>
      <c r="E52" s="12" t="s">
        <v>758</v>
      </c>
      <c r="F52" s="10" t="s">
        <v>993</v>
      </c>
      <c r="G52" s="12" t="s">
        <v>1314</v>
      </c>
      <c r="H52" s="10" t="s">
        <v>1290</v>
      </c>
      <c r="I52" s="454" t="s">
        <v>1267</v>
      </c>
      <c r="J52" s="10" t="s">
        <v>1147</v>
      </c>
      <c r="K52" s="12" t="s">
        <v>2244</v>
      </c>
      <c r="L52" s="10" t="s">
        <v>1579</v>
      </c>
      <c r="M52" s="455" t="s">
        <v>2088</v>
      </c>
      <c r="N52" s="10" t="s">
        <v>690</v>
      </c>
      <c r="O52" s="12" t="s">
        <v>342</v>
      </c>
      <c r="P52" s="460" t="s">
        <v>2131</v>
      </c>
      <c r="Q52" s="461" t="s">
        <v>2415</v>
      </c>
      <c r="R52" s="10" t="s">
        <v>2547</v>
      </c>
      <c r="S52" s="12" t="s">
        <v>1104</v>
      </c>
      <c r="T52" s="10" t="s">
        <v>1905</v>
      </c>
      <c r="U52" s="12" t="s">
        <v>39</v>
      </c>
      <c r="V52" s="10" t="s">
        <v>2732</v>
      </c>
      <c r="W52" s="454" t="s">
        <v>2878</v>
      </c>
      <c r="X52" s="10" t="s">
        <v>3320</v>
      </c>
    </row>
    <row r="53" spans="1:24" ht="54">
      <c r="A53" s="12" t="s">
        <v>1612</v>
      </c>
      <c r="B53" s="10" t="s">
        <v>1612</v>
      </c>
      <c r="C53" s="12">
        <f>'Language 3'!C53</f>
        <v>0</v>
      </c>
      <c r="D53" s="10" t="s">
        <v>2058</v>
      </c>
      <c r="E53" s="12" t="s">
        <v>759</v>
      </c>
      <c r="F53" s="10" t="s">
        <v>994</v>
      </c>
      <c r="G53" s="12" t="s">
        <v>1315</v>
      </c>
      <c r="H53" s="10" t="s">
        <v>1291</v>
      </c>
      <c r="I53" s="454" t="s">
        <v>1268</v>
      </c>
      <c r="J53" s="10" t="s">
        <v>1148</v>
      </c>
      <c r="K53" s="12" t="s">
        <v>2245</v>
      </c>
      <c r="L53" s="10" t="s">
        <v>1580</v>
      </c>
      <c r="M53" s="455" t="s">
        <v>2089</v>
      </c>
      <c r="N53" s="10" t="s">
        <v>1074</v>
      </c>
      <c r="O53" s="12" t="s">
        <v>343</v>
      </c>
      <c r="P53" s="464" t="s">
        <v>2132</v>
      </c>
      <c r="Q53" s="461" t="s">
        <v>2416</v>
      </c>
      <c r="R53" s="10" t="s">
        <v>2548</v>
      </c>
      <c r="S53" s="12" t="s">
        <v>196</v>
      </c>
      <c r="T53" s="10" t="s">
        <v>386</v>
      </c>
      <c r="U53" s="12" t="s">
        <v>40</v>
      </c>
      <c r="V53" s="10" t="s">
        <v>2733</v>
      </c>
      <c r="W53" s="454" t="s">
        <v>2879</v>
      </c>
      <c r="X53" s="10" t="s">
        <v>3321</v>
      </c>
    </row>
    <row r="54" spans="1:24" ht="38.25">
      <c r="A54" s="12" t="s">
        <v>906</v>
      </c>
      <c r="B54" s="10" t="s">
        <v>906</v>
      </c>
      <c r="C54" s="12">
        <f>'Language 3'!C54</f>
        <v>0</v>
      </c>
      <c r="D54" s="10" t="s">
        <v>2059</v>
      </c>
      <c r="E54" s="12" t="s">
        <v>760</v>
      </c>
      <c r="F54" s="10" t="s">
        <v>574</v>
      </c>
      <c r="G54" s="12" t="s">
        <v>2636</v>
      </c>
      <c r="H54" s="10" t="s">
        <v>1292</v>
      </c>
      <c r="I54" s="454" t="s">
        <v>1269</v>
      </c>
      <c r="J54" s="10" t="s">
        <v>1149</v>
      </c>
      <c r="K54" s="12" t="s">
        <v>2246</v>
      </c>
      <c r="L54" s="10" t="s">
        <v>1581</v>
      </c>
      <c r="M54" s="455" t="s">
        <v>604</v>
      </c>
      <c r="N54" s="10" t="s">
        <v>1075</v>
      </c>
      <c r="O54" s="12" t="s">
        <v>344</v>
      </c>
      <c r="P54" s="460" t="s">
        <v>507</v>
      </c>
      <c r="Q54" s="461" t="s">
        <v>2417</v>
      </c>
      <c r="R54" s="10" t="s">
        <v>2549</v>
      </c>
      <c r="S54" s="12" t="s">
        <v>197</v>
      </c>
      <c r="T54" s="10" t="s">
        <v>1906</v>
      </c>
      <c r="U54" s="12" t="s">
        <v>41</v>
      </c>
      <c r="V54" s="10" t="s">
        <v>2734</v>
      </c>
      <c r="W54" s="454" t="s">
        <v>2880</v>
      </c>
      <c r="X54" s="10" t="s">
        <v>3322</v>
      </c>
    </row>
    <row r="55" spans="1:24" ht="25.5">
      <c r="A55" s="12" t="s">
        <v>907</v>
      </c>
      <c r="B55" s="10" t="s">
        <v>907</v>
      </c>
      <c r="C55" s="12">
        <f>'Language 3'!C55</f>
        <v>0</v>
      </c>
      <c r="D55" s="10" t="s">
        <v>2060</v>
      </c>
      <c r="E55" s="12" t="s">
        <v>421</v>
      </c>
      <c r="F55" s="10" t="s">
        <v>575</v>
      </c>
      <c r="G55" s="12" t="s">
        <v>2637</v>
      </c>
      <c r="H55" s="10" t="s">
        <v>1293</v>
      </c>
      <c r="I55" s="463" t="s">
        <v>3183</v>
      </c>
      <c r="J55" s="10" t="s">
        <v>1150</v>
      </c>
      <c r="K55" s="12" t="s">
        <v>2247</v>
      </c>
      <c r="L55" s="10" t="s">
        <v>1582</v>
      </c>
      <c r="M55" s="455" t="s">
        <v>605</v>
      </c>
      <c r="N55" s="10" t="s">
        <v>1076</v>
      </c>
      <c r="O55" s="12" t="s">
        <v>345</v>
      </c>
      <c r="P55" s="460" t="s">
        <v>2133</v>
      </c>
      <c r="Q55" s="461" t="s">
        <v>2418</v>
      </c>
      <c r="R55" s="10" t="s">
        <v>2550</v>
      </c>
      <c r="S55" s="12" t="s">
        <v>240</v>
      </c>
      <c r="T55" s="10" t="s">
        <v>1907</v>
      </c>
      <c r="U55" s="12" t="s">
        <v>42</v>
      </c>
      <c r="V55" s="10" t="s">
        <v>2735</v>
      </c>
      <c r="W55" s="454" t="s">
        <v>2881</v>
      </c>
      <c r="X55" s="10" t="s">
        <v>3323</v>
      </c>
    </row>
    <row r="56" spans="1:24" ht="18">
      <c r="A56" s="12" t="s">
        <v>2334</v>
      </c>
      <c r="B56" s="10" t="s">
        <v>2334</v>
      </c>
      <c r="C56" s="12">
        <f>'Language 3'!C56</f>
        <v>0</v>
      </c>
      <c r="D56" s="10" t="s">
        <v>2334</v>
      </c>
      <c r="E56" s="12" t="s">
        <v>761</v>
      </c>
      <c r="F56" s="10" t="s">
        <v>576</v>
      </c>
      <c r="G56" s="12" t="s">
        <v>2638</v>
      </c>
      <c r="H56" s="10" t="s">
        <v>1294</v>
      </c>
      <c r="I56" s="454" t="s">
        <v>1270</v>
      </c>
      <c r="J56" s="10" t="s">
        <v>1151</v>
      </c>
      <c r="K56" s="12" t="s">
        <v>2248</v>
      </c>
      <c r="L56" s="10" t="s">
        <v>1583</v>
      </c>
      <c r="M56" s="455" t="s">
        <v>606</v>
      </c>
      <c r="N56" s="10" t="s">
        <v>1077</v>
      </c>
      <c r="O56" s="12" t="s">
        <v>346</v>
      </c>
      <c r="P56" s="460" t="s">
        <v>508</v>
      </c>
      <c r="Q56" s="461" t="s">
        <v>2419</v>
      </c>
      <c r="R56" s="10" t="s">
        <v>2551</v>
      </c>
      <c r="S56" s="12" t="s">
        <v>241</v>
      </c>
      <c r="T56" s="10" t="s">
        <v>346</v>
      </c>
      <c r="U56" s="12" t="s">
        <v>43</v>
      </c>
      <c r="V56" s="10" t="s">
        <v>2736</v>
      </c>
      <c r="W56" s="454" t="s">
        <v>2882</v>
      </c>
      <c r="X56" s="10" t="s">
        <v>3324</v>
      </c>
    </row>
    <row r="57" spans="1:24" ht="38.25">
      <c r="A57" s="12" t="s">
        <v>1613</v>
      </c>
      <c r="B57" s="10" t="s">
        <v>1613</v>
      </c>
      <c r="C57" s="12">
        <f>'Language 3'!C57</f>
        <v>0</v>
      </c>
      <c r="D57" s="10" t="s">
        <v>2061</v>
      </c>
      <c r="E57" s="12" t="s">
        <v>762</v>
      </c>
      <c r="F57" s="10" t="s">
        <v>815</v>
      </c>
      <c r="G57" s="12" t="s">
        <v>1537</v>
      </c>
      <c r="H57" s="10" t="s">
        <v>890</v>
      </c>
      <c r="I57" s="454" t="s">
        <v>1538</v>
      </c>
      <c r="J57" s="10" t="s">
        <v>1655</v>
      </c>
      <c r="K57" s="12" t="s">
        <v>947</v>
      </c>
      <c r="L57" s="10" t="s">
        <v>1584</v>
      </c>
      <c r="M57" s="455" t="s">
        <v>607</v>
      </c>
      <c r="N57" s="10" t="s">
        <v>1078</v>
      </c>
      <c r="O57" s="12" t="s">
        <v>347</v>
      </c>
      <c r="P57" s="460" t="s">
        <v>509</v>
      </c>
      <c r="Q57" s="461" t="s">
        <v>2420</v>
      </c>
      <c r="R57" s="10" t="s">
        <v>2552</v>
      </c>
      <c r="S57" s="12" t="s">
        <v>242</v>
      </c>
      <c r="T57" s="10" t="s">
        <v>347</v>
      </c>
      <c r="U57" s="12" t="s">
        <v>44</v>
      </c>
      <c r="V57" s="10" t="s">
        <v>2737</v>
      </c>
      <c r="W57" s="454" t="s">
        <v>2883</v>
      </c>
      <c r="X57" s="10" t="s">
        <v>3325</v>
      </c>
    </row>
    <row r="58" spans="1:24" ht="18">
      <c r="A58" s="12" t="s">
        <v>2335</v>
      </c>
      <c r="B58" s="10" t="s">
        <v>2335</v>
      </c>
      <c r="C58" s="12">
        <f>'Language 3'!C58</f>
        <v>0</v>
      </c>
      <c r="D58" s="10" t="s">
        <v>953</v>
      </c>
      <c r="E58" s="12" t="s">
        <v>763</v>
      </c>
      <c r="F58" s="10" t="s">
        <v>577</v>
      </c>
      <c r="G58" s="12" t="s">
        <v>2639</v>
      </c>
      <c r="H58" s="10" t="s">
        <v>1295</v>
      </c>
      <c r="I58" s="454" t="s">
        <v>948</v>
      </c>
      <c r="J58" s="10" t="s">
        <v>1152</v>
      </c>
      <c r="K58" s="12" t="s">
        <v>948</v>
      </c>
      <c r="L58" s="10" t="s">
        <v>1585</v>
      </c>
      <c r="M58" s="455" t="s">
        <v>608</v>
      </c>
      <c r="N58" s="10" t="s">
        <v>1079</v>
      </c>
      <c r="O58" s="12" t="s">
        <v>348</v>
      </c>
      <c r="P58" s="460" t="s">
        <v>510</v>
      </c>
      <c r="Q58" s="461" t="s">
        <v>510</v>
      </c>
      <c r="R58" s="10" t="s">
        <v>2553</v>
      </c>
      <c r="S58" s="12" t="s">
        <v>243</v>
      </c>
      <c r="T58" s="10" t="s">
        <v>348</v>
      </c>
      <c r="U58" s="12" t="s">
        <v>45</v>
      </c>
      <c r="V58" s="10" t="s">
        <v>2738</v>
      </c>
      <c r="W58" s="454" t="s">
        <v>2884</v>
      </c>
      <c r="X58" s="10" t="s">
        <v>3326</v>
      </c>
    </row>
    <row r="59" spans="1:24" ht="18">
      <c r="A59" s="12" t="s">
        <v>2341</v>
      </c>
      <c r="B59" s="10" t="s">
        <v>2341</v>
      </c>
      <c r="C59" s="12">
        <f>'Language 3'!C59</f>
        <v>0</v>
      </c>
      <c r="D59" s="10" t="s">
        <v>2341</v>
      </c>
      <c r="E59" s="12" t="s">
        <v>764</v>
      </c>
      <c r="F59" s="10" t="s">
        <v>1539</v>
      </c>
      <c r="G59" s="12" t="s">
        <v>1536</v>
      </c>
      <c r="H59" s="10" t="s">
        <v>2341</v>
      </c>
      <c r="I59" s="454" t="s">
        <v>2341</v>
      </c>
      <c r="J59" s="10" t="s">
        <v>1656</v>
      </c>
      <c r="K59" s="12" t="s">
        <v>2341</v>
      </c>
      <c r="L59" s="10" t="s">
        <v>1586</v>
      </c>
      <c r="M59" s="455" t="s">
        <v>609</v>
      </c>
      <c r="N59" s="10" t="s">
        <v>1080</v>
      </c>
      <c r="O59" s="12" t="s">
        <v>349</v>
      </c>
      <c r="P59" s="460" t="s">
        <v>511</v>
      </c>
      <c r="Q59" s="461" t="s">
        <v>2421</v>
      </c>
      <c r="R59" s="10" t="s">
        <v>2554</v>
      </c>
      <c r="S59" s="12" t="s">
        <v>2341</v>
      </c>
      <c r="T59" s="10" t="s">
        <v>349</v>
      </c>
      <c r="U59" s="12" t="s">
        <v>46</v>
      </c>
      <c r="V59" s="10" t="s">
        <v>2739</v>
      </c>
      <c r="W59" s="454" t="s">
        <v>2885</v>
      </c>
      <c r="X59" s="10" t="s">
        <v>3327</v>
      </c>
    </row>
    <row r="60" spans="1:24" ht="25.5">
      <c r="A60" s="12" t="s">
        <v>1614</v>
      </c>
      <c r="B60" s="10" t="s">
        <v>1614</v>
      </c>
      <c r="C60" s="12">
        <f>'Language 3'!C60</f>
        <v>0</v>
      </c>
      <c r="D60" s="10" t="s">
        <v>954</v>
      </c>
      <c r="E60" s="12" t="s">
        <v>422</v>
      </c>
      <c r="F60" s="10" t="s">
        <v>578</v>
      </c>
      <c r="G60" s="12" t="s">
        <v>2640</v>
      </c>
      <c r="H60" s="10" t="s">
        <v>1296</v>
      </c>
      <c r="I60" s="454" t="s">
        <v>1271</v>
      </c>
      <c r="J60" s="10" t="s">
        <v>1153</v>
      </c>
      <c r="K60" s="12" t="s">
        <v>949</v>
      </c>
      <c r="L60" s="10" t="s">
        <v>1587</v>
      </c>
      <c r="M60" s="455" t="s">
        <v>610</v>
      </c>
      <c r="N60" s="10" t="s">
        <v>1081</v>
      </c>
      <c r="O60" s="12" t="s">
        <v>350</v>
      </c>
      <c r="P60" s="460" t="s">
        <v>512</v>
      </c>
      <c r="Q60" s="461" t="s">
        <v>2422</v>
      </c>
      <c r="R60" s="10" t="s">
        <v>2555</v>
      </c>
      <c r="S60" s="12" t="s">
        <v>198</v>
      </c>
      <c r="T60" s="10" t="s">
        <v>1908</v>
      </c>
      <c r="U60" s="12" t="s">
        <v>47</v>
      </c>
      <c r="V60" s="10" t="s">
        <v>2740</v>
      </c>
      <c r="W60" s="454" t="s">
        <v>2886</v>
      </c>
      <c r="X60" s="10" t="s">
        <v>3328</v>
      </c>
    </row>
    <row r="61" spans="1:24" ht="25.5">
      <c r="A61" s="12" t="s">
        <v>1615</v>
      </c>
      <c r="B61" s="10" t="s">
        <v>1615</v>
      </c>
      <c r="C61" s="12">
        <f>'Language 3'!C61</f>
        <v>0</v>
      </c>
      <c r="D61" s="10" t="s">
        <v>955</v>
      </c>
      <c r="E61" s="12" t="s">
        <v>765</v>
      </c>
      <c r="F61" s="10" t="s">
        <v>1540</v>
      </c>
      <c r="G61" s="12" t="s">
        <v>1541</v>
      </c>
      <c r="H61" s="10" t="s">
        <v>1297</v>
      </c>
      <c r="I61" s="463" t="s">
        <v>3184</v>
      </c>
      <c r="J61" s="10" t="s">
        <v>1657</v>
      </c>
      <c r="K61" s="12" t="s">
        <v>950</v>
      </c>
      <c r="L61" s="10" t="s">
        <v>1588</v>
      </c>
      <c r="M61" s="455" t="s">
        <v>611</v>
      </c>
      <c r="N61" s="10" t="s">
        <v>1082</v>
      </c>
      <c r="O61" s="12" t="s">
        <v>351</v>
      </c>
      <c r="P61" s="460" t="s">
        <v>513</v>
      </c>
      <c r="Q61" s="461" t="s">
        <v>2423</v>
      </c>
      <c r="R61" s="10" t="s">
        <v>2556</v>
      </c>
      <c r="S61" s="12" t="s">
        <v>1144</v>
      </c>
      <c r="T61" s="10" t="s">
        <v>1909</v>
      </c>
      <c r="U61" s="12" t="s">
        <v>48</v>
      </c>
      <c r="V61" s="10" t="s">
        <v>2741</v>
      </c>
      <c r="W61" s="454" t="s">
        <v>2887</v>
      </c>
      <c r="X61" s="10" t="s">
        <v>3329</v>
      </c>
    </row>
    <row r="62" spans="1:24" ht="18">
      <c r="A62" s="12" t="s">
        <v>903</v>
      </c>
      <c r="B62" s="10" t="s">
        <v>903</v>
      </c>
      <c r="C62" s="12">
        <f>'Language 3'!C62</f>
        <v>0</v>
      </c>
      <c r="D62" s="10" t="s">
        <v>903</v>
      </c>
      <c r="E62" s="12" t="s">
        <v>903</v>
      </c>
      <c r="F62" s="10" t="s">
        <v>579</v>
      </c>
      <c r="G62" s="12" t="s">
        <v>2641</v>
      </c>
      <c r="H62" s="10" t="s">
        <v>903</v>
      </c>
      <c r="I62" s="454" t="s">
        <v>951</v>
      </c>
      <c r="J62" s="10" t="s">
        <v>1154</v>
      </c>
      <c r="K62" s="12" t="s">
        <v>951</v>
      </c>
      <c r="L62" s="10" t="s">
        <v>903</v>
      </c>
      <c r="M62" s="455" t="s">
        <v>850</v>
      </c>
      <c r="N62" s="10" t="s">
        <v>1083</v>
      </c>
      <c r="O62" s="12" t="s">
        <v>903</v>
      </c>
      <c r="P62" s="460" t="s">
        <v>514</v>
      </c>
      <c r="Q62" s="461" t="s">
        <v>2424</v>
      </c>
      <c r="R62" s="10" t="s">
        <v>2424</v>
      </c>
      <c r="S62" s="12" t="s">
        <v>903</v>
      </c>
      <c r="T62" s="10" t="s">
        <v>1910</v>
      </c>
      <c r="U62" s="12" t="s">
        <v>49</v>
      </c>
      <c r="V62" s="10" t="s">
        <v>2742</v>
      </c>
      <c r="W62" s="454" t="s">
        <v>2888</v>
      </c>
      <c r="X62" s="10" t="s">
        <v>903</v>
      </c>
    </row>
    <row r="63" spans="1:24" ht="18">
      <c r="A63" s="12" t="s">
        <v>904</v>
      </c>
      <c r="B63" s="10" t="s">
        <v>904</v>
      </c>
      <c r="C63" s="12">
        <f>'Language 3'!C63</f>
        <v>0</v>
      </c>
      <c r="D63" s="10" t="s">
        <v>904</v>
      </c>
      <c r="E63" s="12" t="s">
        <v>904</v>
      </c>
      <c r="F63" s="10" t="s">
        <v>580</v>
      </c>
      <c r="G63" s="12" t="s">
        <v>2642</v>
      </c>
      <c r="H63" s="10" t="s">
        <v>1298</v>
      </c>
      <c r="I63" s="454" t="s">
        <v>952</v>
      </c>
      <c r="J63" s="10" t="s">
        <v>1155</v>
      </c>
      <c r="K63" s="12" t="s">
        <v>952</v>
      </c>
      <c r="L63" s="10" t="s">
        <v>904</v>
      </c>
      <c r="M63" s="455" t="s">
        <v>851</v>
      </c>
      <c r="N63" s="10" t="s">
        <v>1084</v>
      </c>
      <c r="O63" s="12" t="s">
        <v>1298</v>
      </c>
      <c r="P63" s="460" t="s">
        <v>515</v>
      </c>
      <c r="Q63" s="461" t="s">
        <v>2425</v>
      </c>
      <c r="R63" s="10" t="s">
        <v>2425</v>
      </c>
      <c r="S63" s="12" t="s">
        <v>904</v>
      </c>
      <c r="T63" s="10" t="s">
        <v>1298</v>
      </c>
      <c r="U63" s="12" t="s">
        <v>50</v>
      </c>
      <c r="V63" s="10" t="s">
        <v>2743</v>
      </c>
      <c r="W63" s="454" t="s">
        <v>2889</v>
      </c>
      <c r="X63" s="10" t="s">
        <v>904</v>
      </c>
    </row>
    <row r="64" spans="1:24" ht="18">
      <c r="A64" s="12" t="s">
        <v>905</v>
      </c>
      <c r="B64" s="10" t="s">
        <v>905</v>
      </c>
      <c r="C64" s="12">
        <f>'Language 3'!C64</f>
        <v>0</v>
      </c>
      <c r="D64" s="10" t="s">
        <v>1508</v>
      </c>
      <c r="E64" s="12" t="s">
        <v>2219</v>
      </c>
      <c r="F64" s="10" t="s">
        <v>562</v>
      </c>
      <c r="G64" s="12" t="s">
        <v>275</v>
      </c>
      <c r="H64" s="10" t="s">
        <v>2033</v>
      </c>
      <c r="I64" s="454" t="s">
        <v>2330</v>
      </c>
      <c r="J64" s="10" t="s">
        <v>1156</v>
      </c>
      <c r="K64" s="12" t="s">
        <v>1719</v>
      </c>
      <c r="L64" s="10" t="s">
        <v>1589</v>
      </c>
      <c r="M64" s="455" t="s">
        <v>2272</v>
      </c>
      <c r="N64" s="10" t="s">
        <v>1046</v>
      </c>
      <c r="O64" s="12" t="s">
        <v>352</v>
      </c>
      <c r="P64" s="460" t="s">
        <v>497</v>
      </c>
      <c r="Q64" s="461" t="s">
        <v>2397</v>
      </c>
      <c r="R64" s="10" t="s">
        <v>2530</v>
      </c>
      <c r="S64" s="12" t="s">
        <v>2238</v>
      </c>
      <c r="T64" s="10" t="s">
        <v>1846</v>
      </c>
      <c r="U64" s="12" t="s">
        <v>24</v>
      </c>
      <c r="V64" s="10" t="s">
        <v>2712</v>
      </c>
      <c r="W64" s="454" t="s">
        <v>2860</v>
      </c>
      <c r="X64" s="10" t="s">
        <v>3330</v>
      </c>
    </row>
    <row r="65" spans="1:24" ht="114.75">
      <c r="A65" s="12" t="s">
        <v>1245</v>
      </c>
      <c r="B65" s="10" t="s">
        <v>1245</v>
      </c>
      <c r="C65" s="12">
        <f>'Language 3'!C65</f>
        <v>0</v>
      </c>
      <c r="D65" s="10" t="s">
        <v>956</v>
      </c>
      <c r="E65" s="12" t="s">
        <v>766</v>
      </c>
      <c r="F65" s="10" t="s">
        <v>1529</v>
      </c>
      <c r="G65" s="12" t="s">
        <v>691</v>
      </c>
      <c r="H65" s="10" t="s">
        <v>692</v>
      </c>
      <c r="I65" s="463" t="s">
        <v>3185</v>
      </c>
      <c r="J65" s="10" t="s">
        <v>693</v>
      </c>
      <c r="K65" s="12" t="s">
        <v>1325</v>
      </c>
      <c r="L65" s="10" t="s">
        <v>1590</v>
      </c>
      <c r="M65" s="455" t="s">
        <v>1364</v>
      </c>
      <c r="N65" s="10" t="s">
        <v>1085</v>
      </c>
      <c r="O65" s="12" t="s">
        <v>353</v>
      </c>
      <c r="P65" s="464" t="s">
        <v>2134</v>
      </c>
      <c r="Q65" s="461" t="s">
        <v>2426</v>
      </c>
      <c r="R65" s="10" t="s">
        <v>2557</v>
      </c>
      <c r="S65" s="12" t="s">
        <v>713</v>
      </c>
      <c r="T65" s="10" t="s">
        <v>385</v>
      </c>
      <c r="U65" s="12" t="s">
        <v>121</v>
      </c>
      <c r="V65" s="10" t="s">
        <v>2744</v>
      </c>
      <c r="W65" s="454" t="s">
        <v>2890</v>
      </c>
      <c r="X65" s="10" t="s">
        <v>3331</v>
      </c>
    </row>
    <row r="66" spans="1:24" ht="38.25">
      <c r="A66" s="12" t="s">
        <v>2338</v>
      </c>
      <c r="B66" s="10" t="s">
        <v>2338</v>
      </c>
      <c r="C66" s="12">
        <f>'Language 3'!C66</f>
        <v>0</v>
      </c>
      <c r="D66" s="10" t="s">
        <v>957</v>
      </c>
      <c r="E66" s="12" t="s">
        <v>314</v>
      </c>
      <c r="F66" s="10" t="s">
        <v>1054</v>
      </c>
      <c r="G66" s="12" t="s">
        <v>2643</v>
      </c>
      <c r="H66" s="10" t="s">
        <v>1299</v>
      </c>
      <c r="I66" s="454" t="s">
        <v>1272</v>
      </c>
      <c r="J66" s="10" t="s">
        <v>1157</v>
      </c>
      <c r="K66" s="12" t="s">
        <v>1326</v>
      </c>
      <c r="L66" s="10" t="s">
        <v>1591</v>
      </c>
      <c r="M66" s="455" t="s">
        <v>612</v>
      </c>
      <c r="N66" s="10" t="s">
        <v>1086</v>
      </c>
      <c r="O66" s="12" t="s">
        <v>354</v>
      </c>
      <c r="P66" s="460" t="s">
        <v>2135</v>
      </c>
      <c r="Q66" s="461" t="s">
        <v>2427</v>
      </c>
      <c r="R66" s="10" t="s">
        <v>2558</v>
      </c>
      <c r="S66" s="12" t="s">
        <v>199</v>
      </c>
      <c r="T66" s="10" t="s">
        <v>1911</v>
      </c>
      <c r="U66" s="12" t="s">
        <v>51</v>
      </c>
      <c r="V66" s="10" t="s">
        <v>2745</v>
      </c>
      <c r="W66" s="454" t="s">
        <v>2891</v>
      </c>
      <c r="X66" s="10" t="s">
        <v>3332</v>
      </c>
    </row>
    <row r="67" spans="1:24" ht="25.5">
      <c r="A67" s="12" t="s">
        <v>2342</v>
      </c>
      <c r="B67" s="10" t="s">
        <v>2342</v>
      </c>
      <c r="C67" s="12">
        <f>'Language 3'!C67</f>
        <v>0</v>
      </c>
      <c r="D67" s="10" t="s">
        <v>958</v>
      </c>
      <c r="E67" s="12" t="s">
        <v>766</v>
      </c>
      <c r="F67" s="10" t="s">
        <v>1055</v>
      </c>
      <c r="G67" s="12" t="s">
        <v>2644</v>
      </c>
      <c r="H67" s="10" t="s">
        <v>1300</v>
      </c>
      <c r="I67" s="454" t="s">
        <v>1273</v>
      </c>
      <c r="J67" s="10" t="s">
        <v>1158</v>
      </c>
      <c r="K67" s="12" t="s">
        <v>1327</v>
      </c>
      <c r="L67" s="10" t="s">
        <v>1592</v>
      </c>
      <c r="M67" s="455" t="s">
        <v>613</v>
      </c>
      <c r="N67" s="10" t="s">
        <v>1087</v>
      </c>
      <c r="O67" s="12" t="s">
        <v>355</v>
      </c>
      <c r="P67" s="460" t="s">
        <v>2136</v>
      </c>
      <c r="Q67" s="461" t="s">
        <v>2428</v>
      </c>
      <c r="R67" s="10" t="s">
        <v>2559</v>
      </c>
      <c r="S67" s="12" t="s">
        <v>244</v>
      </c>
      <c r="T67" s="10" t="s">
        <v>1912</v>
      </c>
      <c r="U67" s="12" t="s">
        <v>52</v>
      </c>
      <c r="V67" s="10" t="s">
        <v>2746</v>
      </c>
      <c r="W67" s="454" t="s">
        <v>2892</v>
      </c>
      <c r="X67" s="10" t="s">
        <v>3333</v>
      </c>
    </row>
    <row r="68" spans="1:24" ht="63.75">
      <c r="A68" s="12" t="s">
        <v>1246</v>
      </c>
      <c r="B68" s="10" t="s">
        <v>1246</v>
      </c>
      <c r="C68" s="12">
        <f>'Language 3'!C68</f>
        <v>0</v>
      </c>
      <c r="D68" s="10" t="s">
        <v>959</v>
      </c>
      <c r="E68" s="12" t="s">
        <v>315</v>
      </c>
      <c r="F68" s="10" t="s">
        <v>1542</v>
      </c>
      <c r="G68" s="12" t="s">
        <v>1736</v>
      </c>
      <c r="H68" s="10" t="s">
        <v>1301</v>
      </c>
      <c r="I68" s="463" t="s">
        <v>3186</v>
      </c>
      <c r="J68" s="10" t="s">
        <v>1658</v>
      </c>
      <c r="K68" s="12" t="s">
        <v>1328</v>
      </c>
      <c r="L68" s="10" t="s">
        <v>1593</v>
      </c>
      <c r="M68" s="455" t="s">
        <v>1620</v>
      </c>
      <c r="N68" s="10" t="s">
        <v>2072</v>
      </c>
      <c r="O68" s="12" t="s">
        <v>356</v>
      </c>
      <c r="P68" s="464" t="s">
        <v>2137</v>
      </c>
      <c r="Q68" s="461" t="s">
        <v>2429</v>
      </c>
      <c r="R68" s="10" t="s">
        <v>2560</v>
      </c>
      <c r="S68" s="12" t="s">
        <v>200</v>
      </c>
      <c r="T68" s="10" t="s">
        <v>1913</v>
      </c>
      <c r="U68" s="12" t="s">
        <v>2680</v>
      </c>
      <c r="V68" s="10" t="s">
        <v>2747</v>
      </c>
      <c r="W68" s="454" t="s">
        <v>2893</v>
      </c>
      <c r="X68" s="10" t="s">
        <v>3334</v>
      </c>
    </row>
    <row r="69" spans="1:24" ht="63.75">
      <c r="A69" s="12" t="s">
        <v>1772</v>
      </c>
      <c r="B69" s="10" t="s">
        <v>1247</v>
      </c>
      <c r="C69" s="12">
        <f>'Language 3'!C69</f>
        <v>0</v>
      </c>
      <c r="D69" s="10" t="s">
        <v>960</v>
      </c>
      <c r="E69" s="12" t="s">
        <v>316</v>
      </c>
      <c r="F69" s="10" t="s">
        <v>1737</v>
      </c>
      <c r="G69" s="12" t="s">
        <v>1738</v>
      </c>
      <c r="H69" s="10" t="s">
        <v>1817</v>
      </c>
      <c r="I69" s="463" t="s">
        <v>3187</v>
      </c>
      <c r="J69" s="10" t="s">
        <v>1659</v>
      </c>
      <c r="K69" s="12" t="s">
        <v>1329</v>
      </c>
      <c r="L69" s="10" t="s">
        <v>1594</v>
      </c>
      <c r="M69" s="455" t="s">
        <v>614</v>
      </c>
      <c r="N69" s="10" t="s">
        <v>2073</v>
      </c>
      <c r="O69" s="12" t="s">
        <v>357</v>
      </c>
      <c r="P69" s="464" t="s">
        <v>2138</v>
      </c>
      <c r="Q69" s="461" t="s">
        <v>2430</v>
      </c>
      <c r="R69" s="10" t="s">
        <v>2561</v>
      </c>
      <c r="S69" s="12" t="s">
        <v>201</v>
      </c>
      <c r="T69" s="10" t="s">
        <v>1914</v>
      </c>
      <c r="U69" s="12" t="s">
        <v>2681</v>
      </c>
      <c r="V69" s="10" t="s">
        <v>2748</v>
      </c>
      <c r="W69" s="454" t="s">
        <v>2894</v>
      </c>
      <c r="X69" s="10" t="s">
        <v>3335</v>
      </c>
    </row>
    <row r="70" spans="1:24" ht="18">
      <c r="A70" s="12" t="s">
        <v>896</v>
      </c>
      <c r="B70" s="10" t="s">
        <v>896</v>
      </c>
      <c r="C70" s="12">
        <f>'Language 3'!C70</f>
        <v>0</v>
      </c>
      <c r="D70" s="10" t="s">
        <v>961</v>
      </c>
      <c r="E70" s="12" t="s">
        <v>317</v>
      </c>
      <c r="F70" s="10" t="s">
        <v>1056</v>
      </c>
      <c r="G70" s="12" t="s">
        <v>2646</v>
      </c>
      <c r="H70" s="10" t="s">
        <v>1818</v>
      </c>
      <c r="I70" s="454" t="s">
        <v>1274</v>
      </c>
      <c r="J70" s="10" t="s">
        <v>1159</v>
      </c>
      <c r="K70" s="12" t="s">
        <v>1535</v>
      </c>
      <c r="L70" s="10" t="s">
        <v>1595</v>
      </c>
      <c r="M70" s="455" t="s">
        <v>615</v>
      </c>
      <c r="N70" s="10" t="s">
        <v>1088</v>
      </c>
      <c r="O70" s="12" t="s">
        <v>358</v>
      </c>
      <c r="P70" s="460" t="s">
        <v>516</v>
      </c>
      <c r="Q70" s="461" t="s">
        <v>2431</v>
      </c>
      <c r="R70" s="10" t="s">
        <v>516</v>
      </c>
      <c r="S70" s="12" t="s">
        <v>245</v>
      </c>
      <c r="T70" s="10" t="s">
        <v>1915</v>
      </c>
      <c r="U70" s="12" t="s">
        <v>53</v>
      </c>
      <c r="V70" s="10" t="s">
        <v>2749</v>
      </c>
      <c r="W70" s="454" t="s">
        <v>2895</v>
      </c>
      <c r="X70" s="10" t="s">
        <v>3336</v>
      </c>
    </row>
    <row r="71" spans="1:24" ht="25.5">
      <c r="A71" s="12" t="s">
        <v>897</v>
      </c>
      <c r="B71" s="10" t="s">
        <v>897</v>
      </c>
      <c r="C71" s="12">
        <f>'Language 3'!C71</f>
        <v>0</v>
      </c>
      <c r="D71" s="10" t="s">
        <v>962</v>
      </c>
      <c r="E71" s="12" t="s">
        <v>318</v>
      </c>
      <c r="F71" s="10" t="s">
        <v>1057</v>
      </c>
      <c r="G71" s="12" t="s">
        <v>2647</v>
      </c>
      <c r="H71" s="10" t="s">
        <v>1819</v>
      </c>
      <c r="I71" s="463" t="s">
        <v>3188</v>
      </c>
      <c r="J71" s="10" t="s">
        <v>1160</v>
      </c>
      <c r="K71" s="12" t="s">
        <v>1330</v>
      </c>
      <c r="L71" s="10" t="s">
        <v>1596</v>
      </c>
      <c r="M71" s="455" t="s">
        <v>616</v>
      </c>
      <c r="N71" s="10" t="s">
        <v>1089</v>
      </c>
      <c r="O71" s="12" t="s">
        <v>359</v>
      </c>
      <c r="P71" s="460" t="s">
        <v>517</v>
      </c>
      <c r="Q71" s="461" t="s">
        <v>2432</v>
      </c>
      <c r="R71" s="10" t="s">
        <v>2562</v>
      </c>
      <c r="S71" s="12" t="s">
        <v>202</v>
      </c>
      <c r="T71" s="10" t="s">
        <v>1916</v>
      </c>
      <c r="U71" s="12" t="s">
        <v>54</v>
      </c>
      <c r="V71" s="10" t="s">
        <v>2750</v>
      </c>
      <c r="W71" s="454" t="s">
        <v>2896</v>
      </c>
      <c r="X71" s="10" t="s">
        <v>3337</v>
      </c>
    </row>
    <row r="72" spans="1:24" ht="18">
      <c r="A72" s="12" t="s">
        <v>1248</v>
      </c>
      <c r="B72" s="10" t="s">
        <v>1248</v>
      </c>
      <c r="C72" s="12">
        <f>'Language 3'!C72</f>
        <v>0</v>
      </c>
      <c r="D72" s="10" t="s">
        <v>963</v>
      </c>
      <c r="E72" s="12" t="s">
        <v>319</v>
      </c>
      <c r="F72" s="10" t="s">
        <v>1058</v>
      </c>
      <c r="G72" s="12" t="s">
        <v>657</v>
      </c>
      <c r="H72" s="10" t="s">
        <v>1248</v>
      </c>
      <c r="I72" s="454" t="s">
        <v>1331</v>
      </c>
      <c r="J72" s="10" t="s">
        <v>1248</v>
      </c>
      <c r="K72" s="12" t="s">
        <v>1331</v>
      </c>
      <c r="L72" s="10" t="s">
        <v>214</v>
      </c>
      <c r="M72" s="455" t="s">
        <v>617</v>
      </c>
      <c r="N72" s="10" t="s">
        <v>1090</v>
      </c>
      <c r="O72" s="12" t="s">
        <v>360</v>
      </c>
      <c r="P72" s="460" t="s">
        <v>518</v>
      </c>
      <c r="Q72" s="461" t="s">
        <v>2433</v>
      </c>
      <c r="R72" s="10" t="s">
        <v>2563</v>
      </c>
      <c r="S72" s="12" t="s">
        <v>246</v>
      </c>
      <c r="T72" s="10" t="s">
        <v>1917</v>
      </c>
      <c r="U72" s="12" t="s">
        <v>360</v>
      </c>
      <c r="V72" s="10" t="s">
        <v>2751</v>
      </c>
      <c r="W72" s="454" t="s">
        <v>2897</v>
      </c>
      <c r="X72" s="10" t="s">
        <v>3338</v>
      </c>
    </row>
    <row r="73" spans="1:24" ht="25.5">
      <c r="A73" s="12" t="s">
        <v>898</v>
      </c>
      <c r="B73" s="10" t="s">
        <v>898</v>
      </c>
      <c r="C73" s="12">
        <f>'Language 3'!C73</f>
        <v>0</v>
      </c>
      <c r="D73" s="10" t="s">
        <v>964</v>
      </c>
      <c r="E73" s="12" t="s">
        <v>394</v>
      </c>
      <c r="F73" s="10" t="s">
        <v>1059</v>
      </c>
      <c r="G73" s="12" t="s">
        <v>2648</v>
      </c>
      <c r="H73" s="10" t="s">
        <v>1820</v>
      </c>
      <c r="I73" s="454" t="s">
        <v>1275</v>
      </c>
      <c r="J73" s="10" t="s">
        <v>1161</v>
      </c>
      <c r="K73" s="12" t="s">
        <v>1332</v>
      </c>
      <c r="L73" s="10" t="s">
        <v>215</v>
      </c>
      <c r="M73" s="455" t="s">
        <v>618</v>
      </c>
      <c r="N73" s="10" t="s">
        <v>1091</v>
      </c>
      <c r="O73" s="12" t="s">
        <v>361</v>
      </c>
      <c r="P73" s="460" t="s">
        <v>2139</v>
      </c>
      <c r="Q73" s="461" t="s">
        <v>2434</v>
      </c>
      <c r="R73" s="10" t="s">
        <v>2564</v>
      </c>
      <c r="S73" s="12" t="s">
        <v>247</v>
      </c>
      <c r="T73" s="10" t="s">
        <v>1918</v>
      </c>
      <c r="U73" s="12" t="s">
        <v>55</v>
      </c>
      <c r="V73" s="10" t="s">
        <v>2752</v>
      </c>
      <c r="W73" s="454" t="s">
        <v>2898</v>
      </c>
      <c r="X73" s="10" t="s">
        <v>3339</v>
      </c>
    </row>
    <row r="74" spans="1:24" ht="36">
      <c r="A74" s="12" t="s">
        <v>1249</v>
      </c>
      <c r="B74" s="10" t="s">
        <v>1249</v>
      </c>
      <c r="C74" s="12">
        <f>'Language 3'!C74</f>
        <v>0</v>
      </c>
      <c r="D74" s="10" t="s">
        <v>965</v>
      </c>
      <c r="E74" s="12" t="s">
        <v>395</v>
      </c>
      <c r="F74" s="10" t="s">
        <v>694</v>
      </c>
      <c r="G74" s="12" t="s">
        <v>695</v>
      </c>
      <c r="H74" s="10" t="s">
        <v>891</v>
      </c>
      <c r="I74" s="454" t="s">
        <v>1739</v>
      </c>
      <c r="J74" s="10" t="s">
        <v>1660</v>
      </c>
      <c r="K74" s="12" t="s">
        <v>1333</v>
      </c>
      <c r="L74" s="10" t="s">
        <v>216</v>
      </c>
      <c r="M74" s="455" t="s">
        <v>619</v>
      </c>
      <c r="N74" s="10" t="s">
        <v>1092</v>
      </c>
      <c r="O74" s="12" t="s">
        <v>362</v>
      </c>
      <c r="P74" s="460" t="s">
        <v>519</v>
      </c>
      <c r="Q74" s="461" t="s">
        <v>2435</v>
      </c>
      <c r="R74" s="10" t="s">
        <v>2565</v>
      </c>
      <c r="S74" s="12" t="s">
        <v>248</v>
      </c>
      <c r="T74" s="10" t="s">
        <v>1919</v>
      </c>
      <c r="U74" s="12" t="s">
        <v>122</v>
      </c>
      <c r="V74" s="10" t="s">
        <v>2753</v>
      </c>
      <c r="W74" s="454" t="s">
        <v>2899</v>
      </c>
      <c r="X74" s="10" t="s">
        <v>3340</v>
      </c>
    </row>
    <row r="75" spans="1:24" ht="36">
      <c r="A75" s="12" t="s">
        <v>899</v>
      </c>
      <c r="B75" s="10" t="s">
        <v>899</v>
      </c>
      <c r="C75" s="12">
        <f>'Language 3'!C75</f>
        <v>0</v>
      </c>
      <c r="D75" s="10" t="s">
        <v>966</v>
      </c>
      <c r="E75" s="12" t="s">
        <v>393</v>
      </c>
      <c r="F75" s="10" t="s">
        <v>696</v>
      </c>
      <c r="G75" s="12" t="s">
        <v>697</v>
      </c>
      <c r="H75" s="10" t="s">
        <v>892</v>
      </c>
      <c r="I75" s="454" t="s">
        <v>698</v>
      </c>
      <c r="J75" s="10" t="s">
        <v>699</v>
      </c>
      <c r="K75" s="12" t="s">
        <v>1740</v>
      </c>
      <c r="L75" s="10" t="s">
        <v>700</v>
      </c>
      <c r="M75" s="455" t="s">
        <v>620</v>
      </c>
      <c r="N75" s="10" t="s">
        <v>2074</v>
      </c>
      <c r="O75" s="12" t="s">
        <v>363</v>
      </c>
      <c r="P75" s="460" t="s">
        <v>520</v>
      </c>
      <c r="Q75" s="461" t="s">
        <v>2436</v>
      </c>
      <c r="R75" s="10" t="s">
        <v>2566</v>
      </c>
      <c r="S75" s="12" t="s">
        <v>2090</v>
      </c>
      <c r="T75" s="10" t="s">
        <v>1932</v>
      </c>
      <c r="U75" s="12" t="s">
        <v>123</v>
      </c>
      <c r="V75" s="10" t="s">
        <v>2754</v>
      </c>
      <c r="W75" s="454" t="s">
        <v>2900</v>
      </c>
      <c r="X75" s="10" t="s">
        <v>3341</v>
      </c>
    </row>
    <row r="76" spans="1:24" ht="36">
      <c r="A76" s="12" t="s">
        <v>900</v>
      </c>
      <c r="B76" s="10" t="s">
        <v>900</v>
      </c>
      <c r="C76" s="12">
        <f>'Language 3'!C76</f>
        <v>0</v>
      </c>
      <c r="D76" s="10" t="s">
        <v>967</v>
      </c>
      <c r="E76" s="12" t="s">
        <v>392</v>
      </c>
      <c r="F76" s="10" t="s">
        <v>705</v>
      </c>
      <c r="G76" s="12" t="s">
        <v>704</v>
      </c>
      <c r="H76" s="10" t="s">
        <v>893</v>
      </c>
      <c r="I76" s="454" t="s">
        <v>703</v>
      </c>
      <c r="J76" s="10" t="s">
        <v>702</v>
      </c>
      <c r="K76" s="12" t="s">
        <v>1741</v>
      </c>
      <c r="L76" s="10" t="s">
        <v>701</v>
      </c>
      <c r="M76" s="455" t="s">
        <v>621</v>
      </c>
      <c r="N76" s="10" t="s">
        <v>2075</v>
      </c>
      <c r="O76" s="12" t="s">
        <v>364</v>
      </c>
      <c r="P76" s="460" t="s">
        <v>521</v>
      </c>
      <c r="Q76" s="461" t="s">
        <v>2437</v>
      </c>
      <c r="R76" s="10" t="s">
        <v>2567</v>
      </c>
      <c r="S76" s="12" t="s">
        <v>211</v>
      </c>
      <c r="T76" s="10" t="s">
        <v>1933</v>
      </c>
      <c r="U76" s="12" t="s">
        <v>124</v>
      </c>
      <c r="V76" s="10" t="s">
        <v>2755</v>
      </c>
      <c r="W76" s="454" t="s">
        <v>2901</v>
      </c>
      <c r="X76" s="10" t="s">
        <v>3342</v>
      </c>
    </row>
    <row r="77" spans="1:24" ht="38.25">
      <c r="A77" s="12" t="s">
        <v>902</v>
      </c>
      <c r="B77" s="10" t="s">
        <v>902</v>
      </c>
      <c r="C77" s="12">
        <f>'Language 3'!C77</f>
        <v>0</v>
      </c>
      <c r="D77" s="10" t="s">
        <v>968</v>
      </c>
      <c r="E77" s="12" t="s">
        <v>320</v>
      </c>
      <c r="F77" s="10" t="s">
        <v>1742</v>
      </c>
      <c r="G77" s="12" t="s">
        <v>1743</v>
      </c>
      <c r="H77" s="10" t="s">
        <v>1821</v>
      </c>
      <c r="I77" s="454" t="s">
        <v>1744</v>
      </c>
      <c r="J77" s="10" t="s">
        <v>1661</v>
      </c>
      <c r="K77" s="12" t="s">
        <v>1334</v>
      </c>
      <c r="L77" s="10" t="s">
        <v>217</v>
      </c>
      <c r="M77" s="455" t="s">
        <v>622</v>
      </c>
      <c r="N77" s="10" t="s">
        <v>2076</v>
      </c>
      <c r="O77" s="12" t="s">
        <v>365</v>
      </c>
      <c r="P77" s="460" t="s">
        <v>522</v>
      </c>
      <c r="Q77" s="461" t="s">
        <v>2438</v>
      </c>
      <c r="R77" s="10" t="s">
        <v>2568</v>
      </c>
      <c r="S77" s="12" t="s">
        <v>212</v>
      </c>
      <c r="T77" s="10" t="s">
        <v>1934</v>
      </c>
      <c r="U77" s="12" t="s">
        <v>125</v>
      </c>
      <c r="V77" s="10" t="s">
        <v>2756</v>
      </c>
      <c r="W77" s="454" t="s">
        <v>2902</v>
      </c>
      <c r="X77" s="10" t="s">
        <v>3343</v>
      </c>
    </row>
    <row r="78" spans="1:24" ht="18">
      <c r="A78" s="12" t="s">
        <v>2343</v>
      </c>
      <c r="B78" s="10" t="s">
        <v>2343</v>
      </c>
      <c r="C78" s="12">
        <f>'Language 3'!C78</f>
        <v>0</v>
      </c>
      <c r="D78" s="10" t="s">
        <v>969</v>
      </c>
      <c r="E78" s="12" t="s">
        <v>321</v>
      </c>
      <c r="F78" s="10" t="s">
        <v>800</v>
      </c>
      <c r="G78" s="12" t="s">
        <v>142</v>
      </c>
      <c r="H78" s="10" t="s">
        <v>1822</v>
      </c>
      <c r="I78" s="463" t="s">
        <v>3189</v>
      </c>
      <c r="J78" s="10" t="s">
        <v>1162</v>
      </c>
      <c r="K78" s="12" t="s">
        <v>1335</v>
      </c>
      <c r="L78" s="10" t="s">
        <v>218</v>
      </c>
      <c r="M78" s="455" t="s">
        <v>623</v>
      </c>
      <c r="N78" s="10" t="s">
        <v>1093</v>
      </c>
      <c r="O78" s="12" t="s">
        <v>366</v>
      </c>
      <c r="P78" s="460" t="s">
        <v>523</v>
      </c>
      <c r="Q78" s="461" t="s">
        <v>523</v>
      </c>
      <c r="R78" s="10" t="s">
        <v>523</v>
      </c>
      <c r="S78" s="12" t="s">
        <v>203</v>
      </c>
      <c r="T78" s="10" t="s">
        <v>1935</v>
      </c>
      <c r="U78" s="12" t="s">
        <v>56</v>
      </c>
      <c r="V78" s="10" t="s">
        <v>2757</v>
      </c>
      <c r="W78" s="454" t="s">
        <v>2903</v>
      </c>
      <c r="X78" s="10" t="s">
        <v>3344</v>
      </c>
    </row>
    <row r="79" spans="1:24" ht="36">
      <c r="A79" s="12" t="s">
        <v>1782</v>
      </c>
      <c r="B79" s="10" t="s">
        <v>1782</v>
      </c>
      <c r="C79" s="12">
        <f>'Language 3'!C79</f>
        <v>0</v>
      </c>
      <c r="D79" s="10" t="s">
        <v>1783</v>
      </c>
      <c r="E79" s="12" t="s">
        <v>1784</v>
      </c>
      <c r="F79" s="10" t="s">
        <v>1785</v>
      </c>
      <c r="G79" s="12" t="s">
        <v>1786</v>
      </c>
      <c r="H79" s="10" t="s">
        <v>1787</v>
      </c>
      <c r="I79" s="454" t="s">
        <v>1788</v>
      </c>
      <c r="J79" s="10" t="s">
        <v>1789</v>
      </c>
      <c r="K79" s="12" t="s">
        <v>1790</v>
      </c>
      <c r="L79" s="10" t="s">
        <v>1791</v>
      </c>
      <c r="M79" s="455" t="s">
        <v>1792</v>
      </c>
      <c r="N79" s="10" t="s">
        <v>1793</v>
      </c>
      <c r="O79" s="12" t="s">
        <v>793</v>
      </c>
      <c r="P79" s="460" t="s">
        <v>2140</v>
      </c>
      <c r="Q79" s="461" t="s">
        <v>2439</v>
      </c>
      <c r="R79" s="10" t="s">
        <v>2569</v>
      </c>
      <c r="S79" s="12" t="s">
        <v>213</v>
      </c>
      <c r="T79" s="10" t="s">
        <v>1936</v>
      </c>
      <c r="U79" s="12" t="s">
        <v>57</v>
      </c>
      <c r="V79" s="10" t="s">
        <v>2758</v>
      </c>
      <c r="W79" s="454" t="s">
        <v>2904</v>
      </c>
      <c r="X79" s="10" t="s">
        <v>3345</v>
      </c>
    </row>
    <row r="80" spans="1:24" ht="18">
      <c r="A80" s="12" t="s">
        <v>1600</v>
      </c>
      <c r="B80" s="10" t="s">
        <v>1600</v>
      </c>
      <c r="C80" s="12">
        <f>'Language 3'!C80</f>
        <v>0</v>
      </c>
      <c r="D80" s="10" t="s">
        <v>970</v>
      </c>
      <c r="E80" s="12" t="s">
        <v>388</v>
      </c>
      <c r="F80" s="10" t="s">
        <v>1530</v>
      </c>
      <c r="G80" s="12" t="s">
        <v>143</v>
      </c>
      <c r="H80" s="10" t="s">
        <v>1823</v>
      </c>
      <c r="I80" s="454" t="s">
        <v>1276</v>
      </c>
      <c r="J80" s="10" t="s">
        <v>1163</v>
      </c>
      <c r="K80" s="12" t="s">
        <v>1336</v>
      </c>
      <c r="L80" s="10" t="s">
        <v>219</v>
      </c>
      <c r="M80" s="455" t="s">
        <v>624</v>
      </c>
      <c r="N80" s="10" t="s">
        <v>1094</v>
      </c>
      <c r="O80" s="12" t="s">
        <v>367</v>
      </c>
      <c r="P80" s="460" t="s">
        <v>524</v>
      </c>
      <c r="Q80" s="461" t="s">
        <v>2440</v>
      </c>
      <c r="R80" s="10" t="s">
        <v>2570</v>
      </c>
      <c r="S80" s="12" t="s">
        <v>1145</v>
      </c>
      <c r="T80" s="10" t="s">
        <v>1937</v>
      </c>
      <c r="U80" s="12" t="s">
        <v>58</v>
      </c>
      <c r="V80" s="10" t="s">
        <v>2759</v>
      </c>
      <c r="W80" s="454" t="s">
        <v>2905</v>
      </c>
      <c r="X80" s="10" t="s">
        <v>3346</v>
      </c>
    </row>
    <row r="81" spans="1:56" ht="25.5">
      <c r="A81" s="12" t="s">
        <v>1733</v>
      </c>
      <c r="B81" s="10" t="s">
        <v>1733</v>
      </c>
      <c r="C81" s="12">
        <f>'Language 3'!C81</f>
        <v>0</v>
      </c>
      <c r="D81" s="10" t="s">
        <v>971</v>
      </c>
      <c r="E81" s="12" t="s">
        <v>389</v>
      </c>
      <c r="F81" s="10" t="s">
        <v>801</v>
      </c>
      <c r="G81" s="12" t="s">
        <v>995</v>
      </c>
      <c r="H81" s="10" t="s">
        <v>1824</v>
      </c>
      <c r="I81" s="454" t="s">
        <v>1277</v>
      </c>
      <c r="J81" s="10" t="s">
        <v>1164</v>
      </c>
      <c r="K81" s="12" t="s">
        <v>1337</v>
      </c>
      <c r="L81" s="10" t="s">
        <v>220</v>
      </c>
      <c r="M81" s="455" t="s">
        <v>625</v>
      </c>
      <c r="N81" s="10" t="s">
        <v>382</v>
      </c>
      <c r="O81" s="12" t="s">
        <v>368</v>
      </c>
      <c r="P81" s="460" t="s">
        <v>525</v>
      </c>
      <c r="Q81" s="461" t="s">
        <v>525</v>
      </c>
      <c r="R81" s="10" t="s">
        <v>2571</v>
      </c>
      <c r="S81" s="12" t="s">
        <v>1522</v>
      </c>
      <c r="T81" s="10" t="s">
        <v>1938</v>
      </c>
      <c r="U81" s="12" t="s">
        <v>59</v>
      </c>
      <c r="V81" s="10" t="s">
        <v>2760</v>
      </c>
      <c r="W81" s="454" t="s">
        <v>2906</v>
      </c>
      <c r="X81" s="10" t="s">
        <v>3347</v>
      </c>
    </row>
    <row r="82" spans="1:56" s="472" customFormat="1" ht="51">
      <c r="A82" s="12" t="s">
        <v>1302</v>
      </c>
      <c r="B82" s="10" t="s">
        <v>1302</v>
      </c>
      <c r="C82" s="12">
        <f>'Language 3'!C82</f>
        <v>0</v>
      </c>
      <c r="D82" s="10" t="s">
        <v>972</v>
      </c>
      <c r="E82" s="12" t="s">
        <v>1816</v>
      </c>
      <c r="F82" s="10" t="s">
        <v>816</v>
      </c>
      <c r="G82" s="12" t="s">
        <v>996</v>
      </c>
      <c r="H82" s="10" t="s">
        <v>1825</v>
      </c>
      <c r="I82" s="454" t="s">
        <v>1278</v>
      </c>
      <c r="J82" s="10" t="s">
        <v>1165</v>
      </c>
      <c r="K82" s="12" t="s">
        <v>1348</v>
      </c>
      <c r="L82" s="10" t="s">
        <v>221</v>
      </c>
      <c r="M82" s="455" t="s">
        <v>626</v>
      </c>
      <c r="N82" s="10" t="s">
        <v>2077</v>
      </c>
      <c r="O82" s="12" t="s">
        <v>369</v>
      </c>
      <c r="P82" s="464" t="s">
        <v>2141</v>
      </c>
      <c r="Q82" s="461" t="s">
        <v>2441</v>
      </c>
      <c r="R82" s="10" t="s">
        <v>2572</v>
      </c>
      <c r="S82" s="12" t="s">
        <v>1146</v>
      </c>
      <c r="T82" s="10" t="s">
        <v>1939</v>
      </c>
      <c r="U82" s="12" t="s">
        <v>60</v>
      </c>
      <c r="V82" s="10" t="s">
        <v>2761</v>
      </c>
      <c r="W82" s="454" t="s">
        <v>2907</v>
      </c>
      <c r="X82" s="10" t="s">
        <v>3348</v>
      </c>
      <c r="Y82" s="459"/>
      <c r="Z82" s="459"/>
      <c r="AA82" s="459"/>
      <c r="AB82" s="459"/>
      <c r="AC82" s="459"/>
      <c r="AD82" s="459"/>
      <c r="AE82" s="459"/>
      <c r="AF82" s="459"/>
      <c r="AG82" s="459"/>
      <c r="AH82" s="459"/>
      <c r="AI82" s="459"/>
      <c r="AJ82" s="459"/>
      <c r="AK82" s="459"/>
      <c r="AL82" s="459"/>
      <c r="AM82" s="459"/>
      <c r="AN82" s="459"/>
      <c r="AO82" s="459"/>
      <c r="AP82" s="459"/>
      <c r="AQ82" s="459"/>
      <c r="AR82" s="459"/>
      <c r="AS82" s="459"/>
      <c r="AT82" s="459"/>
      <c r="AU82" s="459"/>
      <c r="AV82" s="459"/>
      <c r="AW82" s="459"/>
      <c r="AX82" s="459"/>
      <c r="AY82" s="459"/>
      <c r="AZ82" s="459"/>
      <c r="BA82" s="459"/>
      <c r="BB82" s="459"/>
      <c r="BC82" s="459"/>
      <c r="BD82" s="459"/>
    </row>
    <row r="83" spans="1:56" ht="18">
      <c r="A83" s="12" t="s">
        <v>1734</v>
      </c>
      <c r="B83" s="10" t="s">
        <v>1734</v>
      </c>
      <c r="C83" s="12">
        <f>'Language 3'!C83</f>
        <v>0</v>
      </c>
      <c r="D83" s="10" t="s">
        <v>1303</v>
      </c>
      <c r="E83" s="12" t="s">
        <v>322</v>
      </c>
      <c r="F83" s="10" t="s">
        <v>802</v>
      </c>
      <c r="G83" s="12" t="s">
        <v>997</v>
      </c>
      <c r="H83" s="10" t="s">
        <v>1734</v>
      </c>
      <c r="I83" s="454" t="s">
        <v>1349</v>
      </c>
      <c r="J83" s="10" t="s">
        <v>1734</v>
      </c>
      <c r="K83" s="12" t="s">
        <v>1349</v>
      </c>
      <c r="L83" s="10" t="s">
        <v>997</v>
      </c>
      <c r="M83" s="455" t="s">
        <v>627</v>
      </c>
      <c r="N83" s="10" t="s">
        <v>1308</v>
      </c>
      <c r="O83" s="12" t="s">
        <v>370</v>
      </c>
      <c r="P83" s="473" t="s">
        <v>526</v>
      </c>
      <c r="Q83" s="474" t="s">
        <v>526</v>
      </c>
      <c r="R83" s="10" t="s">
        <v>2573</v>
      </c>
      <c r="S83" s="12" t="s">
        <v>1523</v>
      </c>
      <c r="T83" s="10" t="s">
        <v>370</v>
      </c>
      <c r="U83" s="12" t="s">
        <v>61</v>
      </c>
      <c r="V83" s="10" t="s">
        <v>2762</v>
      </c>
      <c r="W83" s="454" t="s">
        <v>2908</v>
      </c>
      <c r="X83" s="10" t="s">
        <v>3349</v>
      </c>
    </row>
    <row r="84" spans="1:56" ht="18">
      <c r="A84" s="12" t="s">
        <v>1735</v>
      </c>
      <c r="B84" s="10" t="s">
        <v>1735</v>
      </c>
      <c r="C84" s="12">
        <f>'Language 3'!C84</f>
        <v>0</v>
      </c>
      <c r="D84" s="10" t="s">
        <v>973</v>
      </c>
      <c r="E84" s="12" t="s">
        <v>323</v>
      </c>
      <c r="F84" s="10" t="s">
        <v>803</v>
      </c>
      <c r="G84" s="12" t="s">
        <v>998</v>
      </c>
      <c r="H84" s="10" t="s">
        <v>1826</v>
      </c>
      <c r="I84" s="454" t="s">
        <v>1279</v>
      </c>
      <c r="J84" s="10" t="s">
        <v>841</v>
      </c>
      <c r="K84" s="12" t="s">
        <v>1350</v>
      </c>
      <c r="L84" s="10" t="s">
        <v>222</v>
      </c>
      <c r="M84" s="455" t="s">
        <v>628</v>
      </c>
      <c r="N84" s="10" t="s">
        <v>1309</v>
      </c>
      <c r="O84" s="12" t="s">
        <v>1524</v>
      </c>
      <c r="P84" s="460" t="s">
        <v>527</v>
      </c>
      <c r="Q84" s="461" t="s">
        <v>527</v>
      </c>
      <c r="R84" s="10" t="s">
        <v>2574</v>
      </c>
      <c r="S84" s="12" t="s">
        <v>1524</v>
      </c>
      <c r="T84" s="10" t="s">
        <v>1524</v>
      </c>
      <c r="U84" s="12" t="s">
        <v>62</v>
      </c>
      <c r="V84" s="10" t="s">
        <v>2763</v>
      </c>
      <c r="W84" s="454" t="s">
        <v>2909</v>
      </c>
      <c r="X84" s="10" t="s">
        <v>3350</v>
      </c>
    </row>
    <row r="85" spans="1:56" ht="229.5" customHeight="1">
      <c r="A85" s="475" t="s">
        <v>1520</v>
      </c>
      <c r="B85" s="11" t="s">
        <v>1520</v>
      </c>
      <c r="C85" s="12">
        <f>'Language 3'!C85</f>
        <v>0</v>
      </c>
      <c r="D85" s="11" t="s">
        <v>974</v>
      </c>
      <c r="E85" s="475" t="s">
        <v>390</v>
      </c>
      <c r="F85" s="11" t="s">
        <v>1566</v>
      </c>
      <c r="G85" s="476" t="s">
        <v>1920</v>
      </c>
      <c r="H85" s="11" t="s">
        <v>1214</v>
      </c>
      <c r="I85" s="477" t="s">
        <v>1280</v>
      </c>
      <c r="J85" s="11" t="s">
        <v>715</v>
      </c>
      <c r="K85" s="475" t="s">
        <v>1351</v>
      </c>
      <c r="L85" s="11" t="s">
        <v>2273</v>
      </c>
      <c r="M85" s="455" t="s">
        <v>1317</v>
      </c>
      <c r="N85" s="11" t="s">
        <v>1384</v>
      </c>
      <c r="O85" s="475" t="s">
        <v>371</v>
      </c>
      <c r="P85" s="464" t="s">
        <v>2142</v>
      </c>
      <c r="Q85" s="461" t="s">
        <v>2442</v>
      </c>
      <c r="R85" s="11" t="s">
        <v>2575</v>
      </c>
      <c r="S85" s="475" t="s">
        <v>1107</v>
      </c>
      <c r="T85" s="11" t="s">
        <v>1940</v>
      </c>
      <c r="U85" s="475" t="s">
        <v>63</v>
      </c>
      <c r="V85" s="11" t="s">
        <v>2764</v>
      </c>
      <c r="W85" s="478" t="s">
        <v>2910</v>
      </c>
      <c r="X85" s="11" t="s">
        <v>3351</v>
      </c>
    </row>
    <row r="86" spans="1:56" ht="38.25">
      <c r="A86" s="12" t="s">
        <v>1521</v>
      </c>
      <c r="B86" s="10" t="s">
        <v>1521</v>
      </c>
      <c r="C86" s="12">
        <f>'Language 3'!C86</f>
        <v>0</v>
      </c>
      <c r="D86" s="10" t="s">
        <v>975</v>
      </c>
      <c r="E86" s="12" t="s">
        <v>324</v>
      </c>
      <c r="F86" s="10" t="s">
        <v>817</v>
      </c>
      <c r="G86" s="12" t="s">
        <v>999</v>
      </c>
      <c r="H86" s="10" t="s">
        <v>1215</v>
      </c>
      <c r="I86" s="454" t="s">
        <v>1281</v>
      </c>
      <c r="J86" s="10" t="s">
        <v>716</v>
      </c>
      <c r="K86" s="12" t="s">
        <v>1352</v>
      </c>
      <c r="L86" s="10" t="s">
        <v>2274</v>
      </c>
      <c r="M86" s="455" t="s">
        <v>629</v>
      </c>
      <c r="N86" s="10" t="s">
        <v>1385</v>
      </c>
      <c r="O86" s="12" t="s">
        <v>372</v>
      </c>
      <c r="P86" s="464" t="s">
        <v>2143</v>
      </c>
      <c r="Q86" s="461" t="s">
        <v>2443</v>
      </c>
      <c r="R86" s="10" t="s">
        <v>2576</v>
      </c>
      <c r="S86" s="12" t="s">
        <v>204</v>
      </c>
      <c r="T86" s="10" t="s">
        <v>1941</v>
      </c>
      <c r="U86" s="12" t="s">
        <v>64</v>
      </c>
      <c r="V86" s="10" t="s">
        <v>2765</v>
      </c>
      <c r="W86" s="454" t="s">
        <v>2911</v>
      </c>
      <c r="X86" s="10" t="s">
        <v>3352</v>
      </c>
    </row>
    <row r="87" spans="1:56" s="465" customFormat="1" ht="36.75">
      <c r="A87" s="12" t="s">
        <v>876</v>
      </c>
      <c r="B87" s="479" t="s">
        <v>876</v>
      </c>
      <c r="C87" s="12">
        <f>'Language 3'!C87</f>
        <v>0</v>
      </c>
      <c r="D87" s="480" t="s">
        <v>876</v>
      </c>
      <c r="E87" s="12" t="s">
        <v>1227</v>
      </c>
      <c r="F87" s="480" t="s">
        <v>876</v>
      </c>
      <c r="G87" s="12" t="s">
        <v>1218</v>
      </c>
      <c r="H87" s="10" t="s">
        <v>3024</v>
      </c>
      <c r="I87" s="463" t="s">
        <v>586</v>
      </c>
      <c r="J87" s="480" t="s">
        <v>876</v>
      </c>
      <c r="K87" s="12" t="s">
        <v>586</v>
      </c>
      <c r="L87" s="480" t="s">
        <v>876</v>
      </c>
      <c r="M87" s="481" t="s">
        <v>876</v>
      </c>
      <c r="N87" s="10" t="s">
        <v>423</v>
      </c>
      <c r="O87" s="12" t="s">
        <v>934</v>
      </c>
      <c r="P87" s="460" t="s">
        <v>2144</v>
      </c>
      <c r="Q87" s="461" t="s">
        <v>2444</v>
      </c>
      <c r="R87" s="10" t="s">
        <v>2577</v>
      </c>
      <c r="S87" s="12" t="s">
        <v>1525</v>
      </c>
      <c r="T87" s="10" t="s">
        <v>1942</v>
      </c>
      <c r="U87" s="12" t="s">
        <v>65</v>
      </c>
      <c r="V87" s="10" t="s">
        <v>2766</v>
      </c>
      <c r="W87" s="454" t="s">
        <v>2912</v>
      </c>
      <c r="X87" s="10" t="s">
        <v>3353</v>
      </c>
      <c r="Y87" s="459"/>
      <c r="Z87" s="459"/>
      <c r="AA87" s="459"/>
      <c r="AB87" s="459"/>
      <c r="AC87" s="459"/>
      <c r="AD87" s="459"/>
      <c r="AE87" s="459"/>
      <c r="AF87" s="459"/>
      <c r="AG87" s="459"/>
      <c r="AH87" s="459"/>
      <c r="AI87" s="459"/>
      <c r="AJ87" s="459"/>
      <c r="AK87" s="459"/>
      <c r="AL87" s="459"/>
      <c r="AM87" s="459"/>
      <c r="AN87" s="459"/>
      <c r="AO87" s="459"/>
      <c r="AP87" s="459"/>
      <c r="AQ87" s="459"/>
      <c r="AR87" s="459"/>
      <c r="AS87" s="459"/>
      <c r="AT87" s="459"/>
      <c r="AU87" s="459"/>
      <c r="AV87" s="459"/>
      <c r="AW87" s="459"/>
      <c r="AX87" s="459"/>
      <c r="AY87" s="459"/>
      <c r="AZ87" s="459"/>
      <c r="BA87" s="459"/>
      <c r="BB87" s="459"/>
      <c r="BC87" s="459"/>
      <c r="BD87" s="459"/>
    </row>
    <row r="88" spans="1:56" ht="38.25">
      <c r="A88" s="12" t="s">
        <v>1599</v>
      </c>
      <c r="B88" s="10" t="s">
        <v>1599</v>
      </c>
      <c r="C88" s="12">
        <f>'Language 3'!C88</f>
        <v>0</v>
      </c>
      <c r="D88" s="10" t="s">
        <v>976</v>
      </c>
      <c r="E88" s="12" t="s">
        <v>325</v>
      </c>
      <c r="F88" s="10" t="s">
        <v>818</v>
      </c>
      <c r="G88" s="12" t="s">
        <v>1000</v>
      </c>
      <c r="H88" s="10" t="s">
        <v>1216</v>
      </c>
      <c r="I88" s="454" t="s">
        <v>292</v>
      </c>
      <c r="J88" s="10" t="s">
        <v>717</v>
      </c>
      <c r="K88" s="12" t="s">
        <v>1353</v>
      </c>
      <c r="L88" s="10" t="s">
        <v>2275</v>
      </c>
      <c r="M88" s="12" t="s">
        <v>630</v>
      </c>
      <c r="N88" s="10" t="s">
        <v>1386</v>
      </c>
      <c r="O88" s="12" t="s">
        <v>373</v>
      </c>
      <c r="P88" s="464" t="s">
        <v>2145</v>
      </c>
      <c r="Q88" s="461" t="s">
        <v>2445</v>
      </c>
      <c r="R88" s="10" t="s">
        <v>2578</v>
      </c>
      <c r="S88" s="12" t="s">
        <v>205</v>
      </c>
      <c r="T88" s="10" t="s">
        <v>1943</v>
      </c>
      <c r="U88" s="12" t="s">
        <v>66</v>
      </c>
      <c r="V88" s="10" t="s">
        <v>2767</v>
      </c>
      <c r="W88" s="454" t="s">
        <v>2913</v>
      </c>
      <c r="X88" s="10" t="s">
        <v>3354</v>
      </c>
    </row>
    <row r="89" spans="1:56" ht="38.25">
      <c r="A89" s="12" t="s">
        <v>1597</v>
      </c>
      <c r="B89" s="10" t="s">
        <v>1597</v>
      </c>
      <c r="C89" s="12">
        <f>'Language 3'!C89</f>
        <v>0</v>
      </c>
      <c r="D89" s="10" t="s">
        <v>977</v>
      </c>
      <c r="E89" s="12" t="s">
        <v>326</v>
      </c>
      <c r="F89" s="10" t="s">
        <v>804</v>
      </c>
      <c r="G89" s="12" t="s">
        <v>1001</v>
      </c>
      <c r="H89" s="10" t="s">
        <v>1217</v>
      </c>
      <c r="I89" s="454" t="s">
        <v>293</v>
      </c>
      <c r="J89" s="10" t="s">
        <v>718</v>
      </c>
      <c r="K89" s="12" t="s">
        <v>1354</v>
      </c>
      <c r="L89" s="10" t="s">
        <v>2347</v>
      </c>
      <c r="M89" s="12" t="s">
        <v>631</v>
      </c>
      <c r="N89" s="10" t="s">
        <v>2078</v>
      </c>
      <c r="O89" s="12" t="s">
        <v>374</v>
      </c>
      <c r="P89" s="464" t="s">
        <v>2146</v>
      </c>
      <c r="Q89" s="461" t="s">
        <v>2446</v>
      </c>
      <c r="R89" s="10" t="s">
        <v>2579</v>
      </c>
      <c r="S89" s="12" t="s">
        <v>714</v>
      </c>
      <c r="T89" s="10" t="s">
        <v>374</v>
      </c>
      <c r="U89" s="12" t="s">
        <v>67</v>
      </c>
      <c r="V89" s="10" t="s">
        <v>2768</v>
      </c>
      <c r="W89" s="454" t="s">
        <v>2914</v>
      </c>
      <c r="X89" s="10" t="s">
        <v>3355</v>
      </c>
    </row>
    <row r="90" spans="1:56" ht="38.25">
      <c r="A90" s="12" t="s">
        <v>1551</v>
      </c>
      <c r="B90" s="10" t="s">
        <v>1551</v>
      </c>
      <c r="C90" s="12">
        <f>'Language 3'!C90</f>
        <v>0</v>
      </c>
      <c r="D90" s="10" t="s">
        <v>978</v>
      </c>
      <c r="E90" s="12" t="s">
        <v>327</v>
      </c>
      <c r="F90" s="10" t="s">
        <v>805</v>
      </c>
      <c r="G90" s="12" t="s">
        <v>1002</v>
      </c>
      <c r="H90" s="10" t="s">
        <v>2654</v>
      </c>
      <c r="I90" s="454" t="s">
        <v>294</v>
      </c>
      <c r="J90" s="10" t="s">
        <v>719</v>
      </c>
      <c r="K90" s="12" t="s">
        <v>1355</v>
      </c>
      <c r="L90" s="10" t="s">
        <v>2348</v>
      </c>
      <c r="M90" s="12" t="s">
        <v>632</v>
      </c>
      <c r="N90" s="10" t="s">
        <v>2079</v>
      </c>
      <c r="O90" s="12" t="s">
        <v>375</v>
      </c>
      <c r="P90" s="464" t="s">
        <v>2147</v>
      </c>
      <c r="Q90" s="461" t="s">
        <v>2447</v>
      </c>
      <c r="R90" s="10" t="s">
        <v>2580</v>
      </c>
      <c r="S90" s="12" t="s">
        <v>910</v>
      </c>
      <c r="T90" s="10" t="s">
        <v>1944</v>
      </c>
      <c r="U90" s="12" t="s">
        <v>68</v>
      </c>
      <c r="V90" s="10" t="s">
        <v>2769</v>
      </c>
      <c r="W90" s="454" t="s">
        <v>2915</v>
      </c>
      <c r="X90" s="10" t="s">
        <v>3356</v>
      </c>
    </row>
    <row r="91" spans="1:56">
      <c r="A91" s="12" t="s">
        <v>1779</v>
      </c>
      <c r="B91" s="10" t="s">
        <v>1779</v>
      </c>
      <c r="C91" s="12">
        <f>'Language 3'!C91</f>
        <v>0</v>
      </c>
      <c r="D91" s="10" t="s">
        <v>1779</v>
      </c>
      <c r="E91" s="12" t="s">
        <v>1779</v>
      </c>
      <c r="F91" s="10" t="s">
        <v>1780</v>
      </c>
      <c r="G91" s="12" t="s">
        <v>1779</v>
      </c>
      <c r="H91" s="10" t="s">
        <v>1779</v>
      </c>
      <c r="I91" s="454" t="s">
        <v>1779</v>
      </c>
      <c r="J91" s="10" t="s">
        <v>1779</v>
      </c>
      <c r="K91" s="12" t="s">
        <v>1779</v>
      </c>
      <c r="L91" s="10" t="s">
        <v>1779</v>
      </c>
      <c r="M91" s="12" t="s">
        <v>2271</v>
      </c>
      <c r="N91" s="10" t="s">
        <v>1781</v>
      </c>
      <c r="O91" s="12" t="s">
        <v>1779</v>
      </c>
      <c r="P91" s="460" t="s">
        <v>496</v>
      </c>
      <c r="Q91" s="461" t="s">
        <v>2448</v>
      </c>
      <c r="R91" s="10" t="s">
        <v>1779</v>
      </c>
      <c r="S91" s="12" t="s">
        <v>1779</v>
      </c>
      <c r="T91" s="10" t="s">
        <v>1779</v>
      </c>
      <c r="U91" s="12" t="s">
        <v>69</v>
      </c>
      <c r="V91" s="10" t="s">
        <v>2770</v>
      </c>
      <c r="W91" s="454" t="s">
        <v>2916</v>
      </c>
      <c r="X91" s="10" t="s">
        <v>1779</v>
      </c>
    </row>
    <row r="92" spans="1:56">
      <c r="A92" s="12" t="s">
        <v>1490</v>
      </c>
      <c r="B92" s="10" t="s">
        <v>1490</v>
      </c>
      <c r="C92" s="12">
        <f>'Language 3'!C92</f>
        <v>0</v>
      </c>
      <c r="D92" s="10" t="s">
        <v>979</v>
      </c>
      <c r="E92" s="12" t="s">
        <v>328</v>
      </c>
      <c r="F92" s="10" t="s">
        <v>806</v>
      </c>
      <c r="G92" s="12" t="s">
        <v>1003</v>
      </c>
      <c r="H92" s="10" t="s">
        <v>2655</v>
      </c>
      <c r="I92" s="454" t="s">
        <v>295</v>
      </c>
      <c r="J92" s="10" t="s">
        <v>720</v>
      </c>
      <c r="K92" s="12" t="s">
        <v>1356</v>
      </c>
      <c r="L92" s="10" t="s">
        <v>2349</v>
      </c>
      <c r="M92" s="12" t="s">
        <v>633</v>
      </c>
      <c r="N92" s="10" t="s">
        <v>1387</v>
      </c>
      <c r="O92" s="12" t="s">
        <v>376</v>
      </c>
      <c r="P92" s="460" t="s">
        <v>528</v>
      </c>
      <c r="Q92" s="461" t="s">
        <v>2449</v>
      </c>
      <c r="R92" s="10" t="s">
        <v>2581</v>
      </c>
      <c r="S92" s="12" t="s">
        <v>206</v>
      </c>
      <c r="T92" s="10" t="s">
        <v>1945</v>
      </c>
      <c r="U92" s="12" t="s">
        <v>70</v>
      </c>
      <c r="V92" s="10" t="s">
        <v>2771</v>
      </c>
      <c r="W92" s="454" t="s">
        <v>2917</v>
      </c>
      <c r="X92" s="10" t="s">
        <v>3357</v>
      </c>
    </row>
    <row r="93" spans="1:56" ht="25.5">
      <c r="A93" s="12" t="s">
        <v>1489</v>
      </c>
      <c r="B93" s="10" t="s">
        <v>1489</v>
      </c>
      <c r="C93" s="12">
        <f>'Language 3'!C93</f>
        <v>0</v>
      </c>
      <c r="D93" s="10" t="s">
        <v>980</v>
      </c>
      <c r="E93" s="12" t="s">
        <v>329</v>
      </c>
      <c r="F93" s="10" t="s">
        <v>807</v>
      </c>
      <c r="G93" s="12" t="s">
        <v>1004</v>
      </c>
      <c r="H93" s="10" t="s">
        <v>2656</v>
      </c>
      <c r="I93" s="454" t="s">
        <v>296</v>
      </c>
      <c r="J93" s="10" t="s">
        <v>721</v>
      </c>
      <c r="K93" s="12" t="s">
        <v>1357</v>
      </c>
      <c r="L93" s="10" t="s">
        <v>2350</v>
      </c>
      <c r="M93" s="12" t="s">
        <v>634</v>
      </c>
      <c r="N93" s="10" t="s">
        <v>1388</v>
      </c>
      <c r="O93" s="12" t="s">
        <v>377</v>
      </c>
      <c r="P93" s="460" t="s">
        <v>529</v>
      </c>
      <c r="Q93" s="461" t="s">
        <v>2450</v>
      </c>
      <c r="R93" s="10" t="s">
        <v>529</v>
      </c>
      <c r="S93" s="12" t="s">
        <v>911</v>
      </c>
      <c r="T93" s="10" t="s">
        <v>1946</v>
      </c>
      <c r="U93" s="12" t="s">
        <v>71</v>
      </c>
      <c r="V93" s="10" t="s">
        <v>2772</v>
      </c>
      <c r="W93" s="454" t="s">
        <v>2918</v>
      </c>
      <c r="X93" s="10" t="s">
        <v>3358</v>
      </c>
    </row>
    <row r="94" spans="1:56" ht="25.5">
      <c r="A94" s="12" t="s">
        <v>823</v>
      </c>
      <c r="B94" s="10" t="s">
        <v>1250</v>
      </c>
      <c r="C94" s="12">
        <f>'Language 3'!C94</f>
        <v>0</v>
      </c>
      <c r="D94" s="10" t="s">
        <v>981</v>
      </c>
      <c r="E94" s="12" t="s">
        <v>391</v>
      </c>
      <c r="F94" s="10" t="s">
        <v>1745</v>
      </c>
      <c r="G94" s="12" t="s">
        <v>1746</v>
      </c>
      <c r="H94" s="10" t="s">
        <v>894</v>
      </c>
      <c r="I94" s="454" t="s">
        <v>1747</v>
      </c>
      <c r="J94" s="10" t="s">
        <v>1282</v>
      </c>
      <c r="K94" s="12" t="s">
        <v>1358</v>
      </c>
      <c r="L94" s="10" t="s">
        <v>2351</v>
      </c>
      <c r="M94" s="12" t="s">
        <v>635</v>
      </c>
      <c r="N94" s="10" t="s">
        <v>1389</v>
      </c>
      <c r="O94" s="12" t="s">
        <v>378</v>
      </c>
      <c r="P94" s="460" t="s">
        <v>2148</v>
      </c>
      <c r="Q94" s="461" t="s">
        <v>2451</v>
      </c>
      <c r="R94" s="10" t="s">
        <v>2582</v>
      </c>
      <c r="S94" s="12" t="s">
        <v>1526</v>
      </c>
      <c r="T94" s="10" t="s">
        <v>1947</v>
      </c>
      <c r="U94" s="12" t="s">
        <v>126</v>
      </c>
      <c r="V94" s="10" t="s">
        <v>2773</v>
      </c>
      <c r="W94" s="454" t="s">
        <v>2919</v>
      </c>
      <c r="X94" s="10" t="s">
        <v>3359</v>
      </c>
    </row>
    <row r="95" spans="1:56" ht="25.5">
      <c r="A95" s="12" t="s">
        <v>868</v>
      </c>
      <c r="B95" s="10" t="s">
        <v>868</v>
      </c>
      <c r="C95" s="12">
        <f>'Language 3'!C95</f>
        <v>0</v>
      </c>
      <c r="D95" s="10" t="s">
        <v>868</v>
      </c>
      <c r="E95" s="12" t="s">
        <v>869</v>
      </c>
      <c r="F95" s="10" t="s">
        <v>870</v>
      </c>
      <c r="G95" s="12" t="s">
        <v>871</v>
      </c>
      <c r="H95" s="10" t="s">
        <v>868</v>
      </c>
      <c r="I95" s="454" t="s">
        <v>868</v>
      </c>
      <c r="J95" s="10" t="s">
        <v>872</v>
      </c>
      <c r="K95" s="12" t="s">
        <v>868</v>
      </c>
      <c r="L95" s="10" t="s">
        <v>873</v>
      </c>
      <c r="M95" s="12" t="s">
        <v>874</v>
      </c>
      <c r="N95" s="10" t="s">
        <v>875</v>
      </c>
      <c r="O95" s="12" t="s">
        <v>1948</v>
      </c>
      <c r="P95" s="460" t="s">
        <v>530</v>
      </c>
      <c r="Q95" s="461" t="s">
        <v>2452</v>
      </c>
      <c r="R95" s="10" t="s">
        <v>2583</v>
      </c>
      <c r="S95" s="12" t="s">
        <v>1527</v>
      </c>
      <c r="T95" s="10" t="s">
        <v>1948</v>
      </c>
      <c r="U95" s="12" t="s">
        <v>127</v>
      </c>
      <c r="V95" s="10" t="s">
        <v>2774</v>
      </c>
      <c r="W95" s="454" t="s">
        <v>2920</v>
      </c>
      <c r="X95" s="10" t="s">
        <v>3360</v>
      </c>
    </row>
    <row r="96" spans="1:56" ht="25.5">
      <c r="A96" s="12" t="s">
        <v>824</v>
      </c>
      <c r="B96" s="10" t="s">
        <v>1251</v>
      </c>
      <c r="C96" s="12">
        <f>'Language 3'!C96</f>
        <v>0</v>
      </c>
      <c r="D96" s="10" t="s">
        <v>982</v>
      </c>
      <c r="E96" s="12" t="s">
        <v>330</v>
      </c>
      <c r="F96" s="10" t="s">
        <v>1748</v>
      </c>
      <c r="G96" s="12" t="s">
        <v>708</v>
      </c>
      <c r="H96" s="10" t="s">
        <v>2657</v>
      </c>
      <c r="I96" s="454" t="s">
        <v>707</v>
      </c>
      <c r="J96" s="10" t="s">
        <v>1283</v>
      </c>
      <c r="K96" s="12" t="s">
        <v>706</v>
      </c>
      <c r="L96" s="10" t="s">
        <v>2352</v>
      </c>
      <c r="M96" s="12" t="s">
        <v>636</v>
      </c>
      <c r="N96" s="10" t="s">
        <v>2080</v>
      </c>
      <c r="O96" s="12" t="s">
        <v>379</v>
      </c>
      <c r="P96" s="460" t="s">
        <v>2149</v>
      </c>
      <c r="Q96" s="461" t="s">
        <v>2453</v>
      </c>
      <c r="R96" s="10" t="s">
        <v>2584</v>
      </c>
      <c r="S96" s="12" t="s">
        <v>1528</v>
      </c>
      <c r="T96" s="10" t="s">
        <v>1949</v>
      </c>
      <c r="U96" s="12" t="s">
        <v>128</v>
      </c>
      <c r="V96" s="10" t="s">
        <v>2775</v>
      </c>
      <c r="W96" s="454" t="s">
        <v>2921</v>
      </c>
      <c r="X96" s="10" t="s">
        <v>3361</v>
      </c>
    </row>
    <row r="97" spans="1:24" ht="25.5">
      <c r="A97" s="12" t="s">
        <v>825</v>
      </c>
      <c r="B97" s="10" t="s">
        <v>1252</v>
      </c>
      <c r="C97" s="12">
        <f>'Language 3'!C97</f>
        <v>0</v>
      </c>
      <c r="D97" s="10" t="s">
        <v>983</v>
      </c>
      <c r="E97" s="12" t="s">
        <v>331</v>
      </c>
      <c r="F97" s="10" t="s">
        <v>711</v>
      </c>
      <c r="G97" s="12" t="s">
        <v>1749</v>
      </c>
      <c r="H97" s="10" t="s">
        <v>2658</v>
      </c>
      <c r="I97" s="454" t="s">
        <v>710</v>
      </c>
      <c r="J97" s="10" t="s">
        <v>1284</v>
      </c>
      <c r="K97" s="12" t="s">
        <v>709</v>
      </c>
      <c r="L97" s="10" t="s">
        <v>2353</v>
      </c>
      <c r="M97" s="12" t="s">
        <v>637</v>
      </c>
      <c r="N97" s="10" t="s">
        <v>2081</v>
      </c>
      <c r="O97" s="12" t="s">
        <v>378</v>
      </c>
      <c r="P97" s="460" t="s">
        <v>2150</v>
      </c>
      <c r="Q97" s="461" t="s">
        <v>2454</v>
      </c>
      <c r="R97" s="10" t="s">
        <v>2585</v>
      </c>
      <c r="S97" s="12" t="s">
        <v>207</v>
      </c>
      <c r="T97" s="10" t="s">
        <v>1950</v>
      </c>
      <c r="U97" s="12" t="s">
        <v>129</v>
      </c>
      <c r="V97" s="10" t="s">
        <v>2776</v>
      </c>
      <c r="W97" s="454" t="s">
        <v>2922</v>
      </c>
      <c r="X97" s="10" t="s">
        <v>3362</v>
      </c>
    </row>
    <row r="98" spans="1:24" ht="38.25">
      <c r="A98" s="12" t="s">
        <v>867</v>
      </c>
      <c r="B98" s="10" t="s">
        <v>866</v>
      </c>
      <c r="C98" s="12">
        <f>'Language 3'!C98</f>
        <v>0</v>
      </c>
      <c r="D98" s="10" t="s">
        <v>865</v>
      </c>
      <c r="E98" s="12" t="s">
        <v>864</v>
      </c>
      <c r="F98" s="10" t="s">
        <v>1813</v>
      </c>
      <c r="G98" s="12" t="s">
        <v>1812</v>
      </c>
      <c r="H98" s="10" t="s">
        <v>1811</v>
      </c>
      <c r="I98" s="454" t="s">
        <v>1810</v>
      </c>
      <c r="J98" s="10" t="s">
        <v>1809</v>
      </c>
      <c r="K98" s="12" t="s">
        <v>1808</v>
      </c>
      <c r="L98" s="10" t="s">
        <v>1807</v>
      </c>
      <c r="M98" s="12" t="s">
        <v>1806</v>
      </c>
      <c r="N98" s="10" t="s">
        <v>1805</v>
      </c>
      <c r="O98" s="12" t="s">
        <v>794</v>
      </c>
      <c r="P98" s="464" t="s">
        <v>2151</v>
      </c>
      <c r="Q98" s="461" t="s">
        <v>2455</v>
      </c>
      <c r="R98" s="10" t="s">
        <v>2586</v>
      </c>
      <c r="S98" s="12" t="s">
        <v>208</v>
      </c>
      <c r="T98" s="10" t="s">
        <v>1951</v>
      </c>
      <c r="U98" s="12" t="s">
        <v>130</v>
      </c>
      <c r="V98" s="10" t="s">
        <v>2830</v>
      </c>
      <c r="W98" s="454" t="s">
        <v>2923</v>
      </c>
      <c r="X98" s="10" t="s">
        <v>3363</v>
      </c>
    </row>
    <row r="99" spans="1:24" ht="38.25">
      <c r="A99" s="12" t="s">
        <v>1547</v>
      </c>
      <c r="B99" s="10" t="s">
        <v>1547</v>
      </c>
      <c r="C99" s="12">
        <f>'Language 3'!C99</f>
        <v>0</v>
      </c>
      <c r="D99" s="10" t="s">
        <v>984</v>
      </c>
      <c r="E99" s="12" t="s">
        <v>332</v>
      </c>
      <c r="F99" s="10" t="s">
        <v>808</v>
      </c>
      <c r="G99" s="12" t="s">
        <v>1005</v>
      </c>
      <c r="H99" s="10" t="s">
        <v>2659</v>
      </c>
      <c r="I99" s="454" t="s">
        <v>297</v>
      </c>
      <c r="J99" s="10" t="s">
        <v>722</v>
      </c>
      <c r="K99" s="12" t="s">
        <v>1359</v>
      </c>
      <c r="L99" s="10" t="s">
        <v>2354</v>
      </c>
      <c r="M99" s="12" t="s">
        <v>638</v>
      </c>
      <c r="N99" s="10" t="s">
        <v>1390</v>
      </c>
      <c r="O99" s="12" t="s">
        <v>380</v>
      </c>
      <c r="P99" s="460" t="s">
        <v>2152</v>
      </c>
      <c r="Q99" s="461" t="s">
        <v>2456</v>
      </c>
      <c r="R99" s="10" t="s">
        <v>2587</v>
      </c>
      <c r="S99" s="12" t="s">
        <v>144</v>
      </c>
      <c r="T99" s="10" t="s">
        <v>1952</v>
      </c>
      <c r="U99" s="12" t="s">
        <v>72</v>
      </c>
      <c r="V99" s="10" t="s">
        <v>2777</v>
      </c>
      <c r="W99" s="454" t="s">
        <v>2924</v>
      </c>
      <c r="X99" s="10" t="s">
        <v>3364</v>
      </c>
    </row>
    <row r="100" spans="1:24" ht="89.25">
      <c r="A100" s="12" t="s">
        <v>1548</v>
      </c>
      <c r="B100" s="10" t="s">
        <v>1548</v>
      </c>
      <c r="C100" s="12">
        <f>'Language 3'!C100</f>
        <v>0</v>
      </c>
      <c r="D100" s="10" t="s">
        <v>985</v>
      </c>
      <c r="E100" s="12" t="s">
        <v>333</v>
      </c>
      <c r="F100" s="10" t="s">
        <v>809</v>
      </c>
      <c r="G100" s="12" t="s">
        <v>1006</v>
      </c>
      <c r="H100" s="10" t="s">
        <v>2109</v>
      </c>
      <c r="I100" s="463" t="s">
        <v>3190</v>
      </c>
      <c r="J100" s="10" t="s">
        <v>723</v>
      </c>
      <c r="K100" s="12" t="s">
        <v>2307</v>
      </c>
      <c r="L100" s="10" t="s">
        <v>2355</v>
      </c>
      <c r="M100" s="12" t="s">
        <v>639</v>
      </c>
      <c r="N100" s="10" t="s">
        <v>1391</v>
      </c>
      <c r="O100" s="12" t="s">
        <v>381</v>
      </c>
      <c r="P100" s="460" t="s">
        <v>2153</v>
      </c>
      <c r="Q100" s="461" t="s">
        <v>2457</v>
      </c>
      <c r="R100" s="10" t="s">
        <v>2588</v>
      </c>
      <c r="S100" s="12" t="s">
        <v>145</v>
      </c>
      <c r="T100" s="10" t="s">
        <v>1953</v>
      </c>
      <c r="U100" s="12" t="s">
        <v>73</v>
      </c>
      <c r="V100" s="10" t="s">
        <v>2778</v>
      </c>
      <c r="W100" s="454" t="s">
        <v>2925</v>
      </c>
      <c r="X100" s="10" t="s">
        <v>3365</v>
      </c>
    </row>
    <row r="101" spans="1:24" ht="63.75">
      <c r="A101" s="12" t="s">
        <v>1253</v>
      </c>
      <c r="B101" s="10" t="s">
        <v>1253</v>
      </c>
      <c r="C101" s="12">
        <f>'Language 3'!C101</f>
        <v>0</v>
      </c>
      <c r="D101" s="10" t="s">
        <v>986</v>
      </c>
      <c r="E101" s="12" t="s">
        <v>334</v>
      </c>
      <c r="F101" s="10" t="s">
        <v>810</v>
      </c>
      <c r="G101" s="12" t="s">
        <v>1007</v>
      </c>
      <c r="H101" s="10" t="s">
        <v>2110</v>
      </c>
      <c r="I101" s="454" t="s">
        <v>298</v>
      </c>
      <c r="J101" s="10" t="s">
        <v>724</v>
      </c>
      <c r="K101" s="12" t="s">
        <v>2308</v>
      </c>
      <c r="L101" s="10" t="s">
        <v>2356</v>
      </c>
      <c r="M101" s="12" t="s">
        <v>640</v>
      </c>
      <c r="N101" s="10" t="s">
        <v>1392</v>
      </c>
      <c r="O101" s="12" t="s">
        <v>1430</v>
      </c>
      <c r="P101" s="460" t="s">
        <v>2154</v>
      </c>
      <c r="Q101" s="461" t="s">
        <v>2458</v>
      </c>
      <c r="R101" s="10" t="s">
        <v>2589</v>
      </c>
      <c r="S101" s="12" t="s">
        <v>1110</v>
      </c>
      <c r="T101" s="10" t="s">
        <v>1954</v>
      </c>
      <c r="U101" s="12" t="s">
        <v>74</v>
      </c>
      <c r="V101" s="10" t="s">
        <v>2779</v>
      </c>
      <c r="W101" s="454" t="s">
        <v>2926</v>
      </c>
      <c r="X101" s="10" t="s">
        <v>3366</v>
      </c>
    </row>
    <row r="102" spans="1:24" ht="38.25">
      <c r="A102" s="12" t="s">
        <v>1254</v>
      </c>
      <c r="B102" s="10" t="s">
        <v>1254</v>
      </c>
      <c r="C102" s="12">
        <f>'Language 3'!C102</f>
        <v>0</v>
      </c>
      <c r="D102" s="10" t="s">
        <v>987</v>
      </c>
      <c r="E102" s="12" t="s">
        <v>335</v>
      </c>
      <c r="F102" s="10" t="s">
        <v>1889</v>
      </c>
      <c r="G102" s="12" t="s">
        <v>1008</v>
      </c>
      <c r="H102" s="10" t="s">
        <v>1051</v>
      </c>
      <c r="I102" s="454" t="s">
        <v>299</v>
      </c>
      <c r="J102" s="10" t="s">
        <v>725</v>
      </c>
      <c r="K102" s="12" t="s">
        <v>2309</v>
      </c>
      <c r="L102" s="10" t="s">
        <v>2357</v>
      </c>
      <c r="M102" s="12" t="s">
        <v>641</v>
      </c>
      <c r="N102" s="10" t="s">
        <v>862</v>
      </c>
      <c r="O102" s="12" t="s">
        <v>1431</v>
      </c>
      <c r="P102" s="464" t="s">
        <v>2155</v>
      </c>
      <c r="Q102" s="461" t="s">
        <v>2459</v>
      </c>
      <c r="R102" s="10" t="s">
        <v>2590</v>
      </c>
      <c r="S102" s="12" t="s">
        <v>1108</v>
      </c>
      <c r="T102" s="10" t="s">
        <v>1955</v>
      </c>
      <c r="U102" s="12" t="s">
        <v>75</v>
      </c>
      <c r="V102" s="10" t="s">
        <v>2780</v>
      </c>
      <c r="W102" s="454" t="s">
        <v>2927</v>
      </c>
      <c r="X102" s="10" t="s">
        <v>3367</v>
      </c>
    </row>
    <row r="103" spans="1:24" ht="63.75">
      <c r="A103" s="12" t="s">
        <v>251</v>
      </c>
      <c r="B103" s="10" t="s">
        <v>251</v>
      </c>
      <c r="C103" s="12">
        <f>'Language 3'!C103</f>
        <v>0</v>
      </c>
      <c r="D103" s="10" t="s">
        <v>988</v>
      </c>
      <c r="E103" s="12" t="s">
        <v>252</v>
      </c>
      <c r="F103" s="10" t="s">
        <v>645</v>
      </c>
      <c r="G103" s="12" t="s">
        <v>164</v>
      </c>
      <c r="H103" s="10" t="s">
        <v>1052</v>
      </c>
      <c r="I103" s="454" t="s">
        <v>300</v>
      </c>
      <c r="J103" s="10" t="s">
        <v>726</v>
      </c>
      <c r="K103" s="12" t="s">
        <v>2284</v>
      </c>
      <c r="L103" s="10" t="s">
        <v>2358</v>
      </c>
      <c r="M103" s="12" t="s">
        <v>642</v>
      </c>
      <c r="N103" s="10" t="s">
        <v>603</v>
      </c>
      <c r="O103" s="12" t="s">
        <v>1432</v>
      </c>
      <c r="P103" s="460" t="s">
        <v>2156</v>
      </c>
      <c r="Q103" s="461" t="s">
        <v>2460</v>
      </c>
      <c r="R103" s="10" t="s">
        <v>2591</v>
      </c>
      <c r="S103" s="12" t="s">
        <v>1111</v>
      </c>
      <c r="T103" s="10" t="s">
        <v>1956</v>
      </c>
      <c r="U103" s="12" t="s">
        <v>76</v>
      </c>
      <c r="V103" s="10" t="s">
        <v>2781</v>
      </c>
      <c r="W103" s="454" t="s">
        <v>2928</v>
      </c>
      <c r="X103" s="10" t="s">
        <v>3368</v>
      </c>
    </row>
    <row r="104" spans="1:24" ht="38.25">
      <c r="A104" s="12" t="s">
        <v>1551</v>
      </c>
      <c r="B104" s="10" t="s">
        <v>1551</v>
      </c>
      <c r="C104" s="12">
        <f>'Language 3'!C104</f>
        <v>0</v>
      </c>
      <c r="D104" s="10" t="s">
        <v>987</v>
      </c>
      <c r="E104" s="12" t="s">
        <v>327</v>
      </c>
      <c r="F104" s="10" t="s">
        <v>805</v>
      </c>
      <c r="G104" s="12" t="s">
        <v>1009</v>
      </c>
      <c r="H104" s="10" t="s">
        <v>2654</v>
      </c>
      <c r="I104" s="454" t="s">
        <v>294</v>
      </c>
      <c r="J104" s="10" t="s">
        <v>719</v>
      </c>
      <c r="K104" s="12" t="s">
        <v>1355</v>
      </c>
      <c r="L104" s="10" t="s">
        <v>2348</v>
      </c>
      <c r="M104" s="12" t="s">
        <v>643</v>
      </c>
      <c r="N104" s="10" t="s">
        <v>2082</v>
      </c>
      <c r="O104" s="12" t="s">
        <v>1433</v>
      </c>
      <c r="P104" s="464" t="s">
        <v>2157</v>
      </c>
      <c r="Q104" s="461" t="s">
        <v>2447</v>
      </c>
      <c r="R104" s="10" t="s">
        <v>2580</v>
      </c>
      <c r="S104" s="12" t="s">
        <v>1109</v>
      </c>
      <c r="T104" s="10" t="s">
        <v>1944</v>
      </c>
      <c r="U104" s="12" t="s">
        <v>77</v>
      </c>
      <c r="V104" s="10" t="s">
        <v>2782</v>
      </c>
      <c r="W104" s="454" t="s">
        <v>2915</v>
      </c>
      <c r="X104" s="10" t="s">
        <v>3356</v>
      </c>
    </row>
    <row r="105" spans="1:24" ht="25.5">
      <c r="A105" s="12" t="s">
        <v>1549</v>
      </c>
      <c r="B105" s="10" t="s">
        <v>1549</v>
      </c>
      <c r="C105" s="12">
        <f>'Language 3'!C105</f>
        <v>0</v>
      </c>
      <c r="D105" s="10" t="s">
        <v>989</v>
      </c>
      <c r="E105" s="12" t="s">
        <v>336</v>
      </c>
      <c r="F105" s="10" t="s">
        <v>1890</v>
      </c>
      <c r="G105" s="12" t="s">
        <v>1010</v>
      </c>
      <c r="H105" s="10" t="s">
        <v>1053</v>
      </c>
      <c r="I105" s="463" t="s">
        <v>3191</v>
      </c>
      <c r="J105" s="10" t="s">
        <v>727</v>
      </c>
      <c r="K105" s="12" t="s">
        <v>2285</v>
      </c>
      <c r="L105" s="10" t="s">
        <v>2359</v>
      </c>
      <c r="M105" s="12" t="s">
        <v>644</v>
      </c>
      <c r="N105" s="10" t="s">
        <v>1393</v>
      </c>
      <c r="O105" s="12" t="s">
        <v>1434</v>
      </c>
      <c r="P105" s="464" t="s">
        <v>2158</v>
      </c>
      <c r="Q105" s="461" t="s">
        <v>2461</v>
      </c>
      <c r="R105" s="10" t="s">
        <v>2592</v>
      </c>
      <c r="S105" s="12" t="s">
        <v>1112</v>
      </c>
      <c r="T105" s="10" t="s">
        <v>384</v>
      </c>
      <c r="U105" s="12" t="s">
        <v>78</v>
      </c>
      <c r="V105" s="10" t="s">
        <v>2783</v>
      </c>
      <c r="W105" s="454" t="s">
        <v>2929</v>
      </c>
      <c r="X105" s="10" t="s">
        <v>3369</v>
      </c>
    </row>
    <row r="106" spans="1:24" ht="38.25">
      <c r="A106" s="12" t="s">
        <v>1550</v>
      </c>
      <c r="B106" s="10" t="s">
        <v>1550</v>
      </c>
      <c r="C106" s="12">
        <f>'Language 3'!C106</f>
        <v>0</v>
      </c>
      <c r="D106" s="10" t="s">
        <v>990</v>
      </c>
      <c r="E106" s="12" t="s">
        <v>337</v>
      </c>
      <c r="F106" s="10" t="s">
        <v>1891</v>
      </c>
      <c r="G106" s="12" t="s">
        <v>156</v>
      </c>
      <c r="H106" s="10" t="s">
        <v>811</v>
      </c>
      <c r="I106" s="454" t="s">
        <v>301</v>
      </c>
      <c r="J106" s="10" t="s">
        <v>728</v>
      </c>
      <c r="K106" s="12" t="s">
        <v>2286</v>
      </c>
      <c r="L106" s="10" t="s">
        <v>2360</v>
      </c>
      <c r="M106" s="12" t="s">
        <v>1696</v>
      </c>
      <c r="N106" s="10" t="s">
        <v>2083</v>
      </c>
      <c r="O106" s="12" t="s">
        <v>1435</v>
      </c>
      <c r="P106" s="460" t="s">
        <v>531</v>
      </c>
      <c r="Q106" s="461" t="s">
        <v>2462</v>
      </c>
      <c r="R106" s="10" t="s">
        <v>2593</v>
      </c>
      <c r="S106" s="12" t="s">
        <v>1113</v>
      </c>
      <c r="T106" s="10" t="s">
        <v>1957</v>
      </c>
      <c r="U106" s="12" t="s">
        <v>2682</v>
      </c>
      <c r="V106" s="10" t="s">
        <v>2784</v>
      </c>
      <c r="W106" s="454" t="s">
        <v>2930</v>
      </c>
      <c r="X106" s="10" t="s">
        <v>3370</v>
      </c>
    </row>
    <row r="107" spans="1:24" ht="38.25">
      <c r="A107" s="12" t="s">
        <v>398</v>
      </c>
      <c r="B107" s="10" t="s">
        <v>398</v>
      </c>
      <c r="C107" s="12">
        <f>'Language 3'!C107</f>
        <v>0</v>
      </c>
      <c r="D107" s="10" t="s">
        <v>1304</v>
      </c>
      <c r="E107" s="12" t="s">
        <v>2201</v>
      </c>
      <c r="F107" s="10" t="s">
        <v>286</v>
      </c>
      <c r="G107" s="12" t="s">
        <v>659</v>
      </c>
      <c r="H107" s="10" t="s">
        <v>812</v>
      </c>
      <c r="I107" s="454" t="s">
        <v>1305</v>
      </c>
      <c r="J107" s="10" t="s">
        <v>916</v>
      </c>
      <c r="K107" s="12" t="s">
        <v>2287</v>
      </c>
      <c r="L107" s="10" t="s">
        <v>2361</v>
      </c>
      <c r="M107" s="12" t="s">
        <v>1697</v>
      </c>
      <c r="N107" s="10" t="s">
        <v>1394</v>
      </c>
      <c r="O107" s="12" t="s">
        <v>1436</v>
      </c>
      <c r="P107" s="460" t="s">
        <v>532</v>
      </c>
      <c r="Q107" s="461" t="s">
        <v>2463</v>
      </c>
      <c r="R107" s="10" t="s">
        <v>2594</v>
      </c>
      <c r="S107" s="12" t="s">
        <v>2185</v>
      </c>
      <c r="T107" s="10" t="s">
        <v>1958</v>
      </c>
      <c r="U107" s="12" t="s">
        <v>131</v>
      </c>
      <c r="V107" s="10" t="s">
        <v>2785</v>
      </c>
      <c r="W107" s="454" t="s">
        <v>2931</v>
      </c>
      <c r="X107" s="10" t="s">
        <v>3371</v>
      </c>
    </row>
    <row r="108" spans="1:24" ht="38.25">
      <c r="A108" s="12" t="s">
        <v>1794</v>
      </c>
      <c r="B108" s="10" t="s">
        <v>1794</v>
      </c>
      <c r="C108" s="12">
        <f>'Language 3'!C108</f>
        <v>0</v>
      </c>
      <c r="D108" s="10" t="s">
        <v>1795</v>
      </c>
      <c r="E108" s="12" t="s">
        <v>1796</v>
      </c>
      <c r="F108" s="10" t="s">
        <v>1797</v>
      </c>
      <c r="G108" s="12" t="s">
        <v>863</v>
      </c>
      <c r="H108" s="10" t="s">
        <v>1798</v>
      </c>
      <c r="I108" s="454" t="s">
        <v>1799</v>
      </c>
      <c r="J108" s="10" t="s">
        <v>1800</v>
      </c>
      <c r="K108" s="12" t="s">
        <v>1801</v>
      </c>
      <c r="L108" s="10" t="s">
        <v>1802</v>
      </c>
      <c r="M108" s="12" t="s">
        <v>1803</v>
      </c>
      <c r="N108" s="10" t="s">
        <v>1804</v>
      </c>
      <c r="O108" s="12" t="s">
        <v>795</v>
      </c>
      <c r="P108" s="460" t="s">
        <v>2159</v>
      </c>
      <c r="Q108" s="461" t="s">
        <v>2464</v>
      </c>
      <c r="R108" s="10" t="s">
        <v>2595</v>
      </c>
      <c r="S108" s="12" t="s">
        <v>2186</v>
      </c>
      <c r="T108" s="10" t="s">
        <v>1959</v>
      </c>
      <c r="U108" s="12" t="s">
        <v>79</v>
      </c>
      <c r="V108" s="10" t="s">
        <v>2786</v>
      </c>
      <c r="W108" s="454" t="s">
        <v>2932</v>
      </c>
      <c r="X108" s="10" t="s">
        <v>3372</v>
      </c>
    </row>
    <row r="109" spans="1:24">
      <c r="A109" s="12" t="s">
        <v>1544</v>
      </c>
      <c r="B109" s="10" t="s">
        <v>1544</v>
      </c>
      <c r="C109" s="12">
        <f>'Language 3'!C109</f>
        <v>0</v>
      </c>
      <c r="D109" s="10" t="s">
        <v>1366</v>
      </c>
      <c r="E109" s="12" t="s">
        <v>551</v>
      </c>
      <c r="F109" s="10" t="s">
        <v>1750</v>
      </c>
      <c r="G109" s="12" t="s">
        <v>1751</v>
      </c>
      <c r="H109" s="10" t="s">
        <v>2010</v>
      </c>
      <c r="I109" s="454" t="s">
        <v>1367</v>
      </c>
      <c r="J109" s="10" t="s">
        <v>1285</v>
      </c>
      <c r="K109" s="12" t="s">
        <v>2288</v>
      </c>
      <c r="L109" s="10" t="s">
        <v>2362</v>
      </c>
      <c r="M109" s="12" t="s">
        <v>1698</v>
      </c>
      <c r="N109" s="10" t="s">
        <v>1395</v>
      </c>
      <c r="O109" s="12" t="s">
        <v>1437</v>
      </c>
      <c r="P109" s="460" t="s">
        <v>2160</v>
      </c>
      <c r="Q109" s="461" t="s">
        <v>2465</v>
      </c>
      <c r="R109" s="10" t="s">
        <v>2465</v>
      </c>
      <c r="S109" s="12" t="s">
        <v>2187</v>
      </c>
      <c r="T109" s="10" t="s">
        <v>1437</v>
      </c>
      <c r="U109" s="12" t="s">
        <v>80</v>
      </c>
      <c r="V109" s="10" t="s">
        <v>2787</v>
      </c>
      <c r="W109" s="454" t="s">
        <v>2933</v>
      </c>
      <c r="X109" s="10" t="s">
        <v>3373</v>
      </c>
    </row>
    <row r="110" spans="1:24" ht="25.5">
      <c r="A110" s="12" t="s">
        <v>1488</v>
      </c>
      <c r="B110" s="10" t="s">
        <v>1488</v>
      </c>
      <c r="C110" s="12">
        <f>'Language 3'!C110</f>
        <v>0</v>
      </c>
      <c r="D110" s="10" t="s">
        <v>1665</v>
      </c>
      <c r="E110" s="12" t="s">
        <v>552</v>
      </c>
      <c r="F110" s="10" t="s">
        <v>1892</v>
      </c>
      <c r="G110" s="12" t="s">
        <v>157</v>
      </c>
      <c r="H110" s="10" t="s">
        <v>2011</v>
      </c>
      <c r="I110" s="463" t="s">
        <v>3192</v>
      </c>
      <c r="J110" s="10" t="s">
        <v>917</v>
      </c>
      <c r="K110" s="12" t="s">
        <v>2289</v>
      </c>
      <c r="L110" s="10" t="s">
        <v>2363</v>
      </c>
      <c r="M110" s="12" t="s">
        <v>1699</v>
      </c>
      <c r="N110" s="10" t="s">
        <v>1396</v>
      </c>
      <c r="O110" s="12" t="s">
        <v>1438</v>
      </c>
      <c r="P110" s="460" t="s">
        <v>2161</v>
      </c>
      <c r="Q110" s="461" t="s">
        <v>2466</v>
      </c>
      <c r="R110" s="10" t="s">
        <v>2596</v>
      </c>
      <c r="S110" s="12" t="s">
        <v>1114</v>
      </c>
      <c r="T110" s="10" t="s">
        <v>1960</v>
      </c>
      <c r="U110" s="12" t="s">
        <v>81</v>
      </c>
      <c r="V110" s="10" t="s">
        <v>2788</v>
      </c>
      <c r="W110" s="454" t="s">
        <v>2934</v>
      </c>
      <c r="X110" s="10" t="s">
        <v>3374</v>
      </c>
    </row>
    <row r="111" spans="1:24" ht="25.5">
      <c r="A111" s="12" t="s">
        <v>1543</v>
      </c>
      <c r="B111" s="10" t="s">
        <v>1543</v>
      </c>
      <c r="C111" s="12">
        <f>'Language 3'!C111</f>
        <v>0</v>
      </c>
      <c r="D111" s="10" t="s">
        <v>1666</v>
      </c>
      <c r="E111" s="12" t="s">
        <v>553</v>
      </c>
      <c r="F111" s="10" t="s">
        <v>1893</v>
      </c>
      <c r="G111" s="12" t="s">
        <v>158</v>
      </c>
      <c r="H111" s="10" t="s">
        <v>2012</v>
      </c>
      <c r="I111" s="463" t="s">
        <v>3193</v>
      </c>
      <c r="J111" s="10" t="s">
        <v>918</v>
      </c>
      <c r="K111" s="12" t="s">
        <v>2290</v>
      </c>
      <c r="L111" s="10" t="s">
        <v>2364</v>
      </c>
      <c r="M111" s="12" t="s">
        <v>1700</v>
      </c>
      <c r="N111" s="10" t="s">
        <v>1011</v>
      </c>
      <c r="O111" s="12" t="s">
        <v>1439</v>
      </c>
      <c r="P111" s="460" t="s">
        <v>2162</v>
      </c>
      <c r="Q111" s="461" t="s">
        <v>2467</v>
      </c>
      <c r="R111" s="10" t="s">
        <v>2597</v>
      </c>
      <c r="S111" s="12" t="s">
        <v>1115</v>
      </c>
      <c r="T111" s="10" t="s">
        <v>1961</v>
      </c>
      <c r="U111" s="12" t="s">
        <v>82</v>
      </c>
      <c r="V111" s="10" t="s">
        <v>2831</v>
      </c>
      <c r="W111" s="454" t="s">
        <v>2935</v>
      </c>
      <c r="X111" s="10" t="s">
        <v>3375</v>
      </c>
    </row>
    <row r="112" spans="1:24" ht="63.75">
      <c r="A112" s="12" t="s">
        <v>1545</v>
      </c>
      <c r="B112" s="10" t="s">
        <v>1545</v>
      </c>
      <c r="C112" s="12">
        <f>'Language 3'!C112</f>
        <v>0</v>
      </c>
      <c r="D112" s="10" t="s">
        <v>1667</v>
      </c>
      <c r="E112" s="12" t="s">
        <v>554</v>
      </c>
      <c r="F112" s="10" t="s">
        <v>646</v>
      </c>
      <c r="G112" s="12" t="s">
        <v>159</v>
      </c>
      <c r="H112" s="10" t="s">
        <v>2013</v>
      </c>
      <c r="I112" s="463" t="s">
        <v>3194</v>
      </c>
      <c r="J112" s="10" t="s">
        <v>2645</v>
      </c>
      <c r="K112" s="12" t="s">
        <v>2291</v>
      </c>
      <c r="L112" s="10" t="s">
        <v>2365</v>
      </c>
      <c r="M112" s="12" t="s">
        <v>1701</v>
      </c>
      <c r="N112" s="10" t="s">
        <v>1012</v>
      </c>
      <c r="O112" s="12" t="s">
        <v>1440</v>
      </c>
      <c r="P112" s="460" t="s">
        <v>533</v>
      </c>
      <c r="Q112" s="461" t="s">
        <v>2468</v>
      </c>
      <c r="R112" s="10" t="s">
        <v>2598</v>
      </c>
      <c r="S112" s="12" t="s">
        <v>1116</v>
      </c>
      <c r="T112" s="10" t="s">
        <v>1962</v>
      </c>
      <c r="U112" s="12" t="s">
        <v>83</v>
      </c>
      <c r="V112" s="10" t="s">
        <v>2789</v>
      </c>
      <c r="W112" s="454" t="s">
        <v>2936</v>
      </c>
      <c r="X112" s="10" t="s">
        <v>3376</v>
      </c>
    </row>
    <row r="113" spans="1:24">
      <c r="A113" s="12" t="s">
        <v>1400</v>
      </c>
      <c r="B113" s="10" t="s">
        <v>1400</v>
      </c>
      <c r="C113" s="12">
        <f>'Language 3'!C113</f>
        <v>0</v>
      </c>
      <c r="D113" s="10" t="s">
        <v>1668</v>
      </c>
      <c r="E113" s="12" t="s">
        <v>1401</v>
      </c>
      <c r="F113" s="10" t="s">
        <v>647</v>
      </c>
      <c r="G113" s="12" t="s">
        <v>160</v>
      </c>
      <c r="H113" s="10" t="s">
        <v>1400</v>
      </c>
      <c r="I113" s="463" t="s">
        <v>3195</v>
      </c>
      <c r="J113" s="10" t="s">
        <v>729</v>
      </c>
      <c r="K113" s="12" t="s">
        <v>2292</v>
      </c>
      <c r="L113" s="10" t="s">
        <v>2366</v>
      </c>
      <c r="M113" s="12" t="s">
        <v>1702</v>
      </c>
      <c r="N113" s="10" t="s">
        <v>1013</v>
      </c>
      <c r="O113" s="12" t="s">
        <v>1441</v>
      </c>
      <c r="P113" s="460" t="s">
        <v>534</v>
      </c>
      <c r="Q113" s="461" t="s">
        <v>534</v>
      </c>
      <c r="R113" s="10" t="s">
        <v>2599</v>
      </c>
      <c r="S113" s="12" t="s">
        <v>2188</v>
      </c>
      <c r="T113" s="10" t="s">
        <v>1441</v>
      </c>
      <c r="U113" s="12" t="s">
        <v>84</v>
      </c>
      <c r="V113" s="10" t="s">
        <v>2790</v>
      </c>
      <c r="W113" s="454" t="s">
        <v>647</v>
      </c>
      <c r="X113" s="10" t="s">
        <v>3377</v>
      </c>
    </row>
    <row r="114" spans="1:24">
      <c r="A114" s="12" t="s">
        <v>1404</v>
      </c>
      <c r="B114" s="10" t="s">
        <v>1404</v>
      </c>
      <c r="C114" s="12">
        <f>'Language 3'!C114</f>
        <v>0</v>
      </c>
      <c r="D114" s="10" t="s">
        <v>1669</v>
      </c>
      <c r="E114" s="12" t="s">
        <v>1405</v>
      </c>
      <c r="F114" s="10" t="s">
        <v>648</v>
      </c>
      <c r="G114" s="12" t="s">
        <v>161</v>
      </c>
      <c r="H114" s="10" t="s">
        <v>1404</v>
      </c>
      <c r="I114" s="454" t="s">
        <v>302</v>
      </c>
      <c r="J114" s="10" t="s">
        <v>730</v>
      </c>
      <c r="K114" s="12" t="s">
        <v>2293</v>
      </c>
      <c r="L114" s="10" t="s">
        <v>2367</v>
      </c>
      <c r="M114" s="12" t="s">
        <v>1703</v>
      </c>
      <c r="N114" s="10" t="s">
        <v>1014</v>
      </c>
      <c r="O114" s="12" t="s">
        <v>1442</v>
      </c>
      <c r="P114" s="460" t="s">
        <v>535</v>
      </c>
      <c r="Q114" s="461" t="s">
        <v>2469</v>
      </c>
      <c r="R114" s="10" t="s">
        <v>2600</v>
      </c>
      <c r="S114" s="12" t="s">
        <v>2189</v>
      </c>
      <c r="T114" s="10" t="s">
        <v>1963</v>
      </c>
      <c r="U114" s="12" t="s">
        <v>85</v>
      </c>
      <c r="V114" s="10" t="s">
        <v>2791</v>
      </c>
      <c r="W114" s="454" t="s">
        <v>2937</v>
      </c>
      <c r="X114" s="10" t="s">
        <v>3378</v>
      </c>
    </row>
    <row r="115" spans="1:24">
      <c r="A115" s="12" t="s">
        <v>1406</v>
      </c>
      <c r="B115" s="10" t="s">
        <v>1406</v>
      </c>
      <c r="C115" s="12">
        <f>'Language 3'!C115</f>
        <v>0</v>
      </c>
      <c r="D115" s="10" t="s">
        <v>1670</v>
      </c>
      <c r="E115" s="12" t="s">
        <v>1407</v>
      </c>
      <c r="F115" s="10" t="s">
        <v>649</v>
      </c>
      <c r="G115" s="12" t="s">
        <v>162</v>
      </c>
      <c r="H115" s="10" t="s">
        <v>2014</v>
      </c>
      <c r="I115" s="454" t="s">
        <v>2294</v>
      </c>
      <c r="J115" s="10" t="s">
        <v>731</v>
      </c>
      <c r="K115" s="12" t="s">
        <v>2294</v>
      </c>
      <c r="L115" s="10" t="s">
        <v>2368</v>
      </c>
      <c r="M115" s="12" t="s">
        <v>1704</v>
      </c>
      <c r="N115" s="10" t="s">
        <v>1015</v>
      </c>
      <c r="O115" s="12" t="s">
        <v>1443</v>
      </c>
      <c r="P115" s="460" t="s">
        <v>536</v>
      </c>
      <c r="Q115" s="461" t="s">
        <v>2470</v>
      </c>
      <c r="R115" s="10" t="s">
        <v>2601</v>
      </c>
      <c r="S115" s="12" t="s">
        <v>2190</v>
      </c>
      <c r="T115" s="10" t="s">
        <v>1443</v>
      </c>
      <c r="U115" s="12" t="s">
        <v>86</v>
      </c>
      <c r="V115" s="10" t="s">
        <v>2792</v>
      </c>
      <c r="W115" s="454" t="s">
        <v>2938</v>
      </c>
      <c r="X115" s="10" t="s">
        <v>3379</v>
      </c>
    </row>
    <row r="116" spans="1:24">
      <c r="A116" s="12" t="s">
        <v>1417</v>
      </c>
      <c r="B116" s="10" t="s">
        <v>1417</v>
      </c>
      <c r="C116" s="12">
        <f>'Language 3'!C116</f>
        <v>0</v>
      </c>
      <c r="D116" s="10" t="s">
        <v>1671</v>
      </c>
      <c r="E116" s="12" t="s">
        <v>1418</v>
      </c>
      <c r="F116" s="10" t="s">
        <v>650</v>
      </c>
      <c r="G116" s="12" t="s">
        <v>163</v>
      </c>
      <c r="H116" s="10" t="s">
        <v>2015</v>
      </c>
      <c r="I116" s="454" t="s">
        <v>303</v>
      </c>
      <c r="J116" s="10" t="s">
        <v>732</v>
      </c>
      <c r="K116" s="12" t="s">
        <v>2295</v>
      </c>
      <c r="L116" s="10" t="s">
        <v>2369</v>
      </c>
      <c r="M116" s="12" t="s">
        <v>1705</v>
      </c>
      <c r="N116" s="10" t="s">
        <v>1016</v>
      </c>
      <c r="O116" s="12" t="s">
        <v>1444</v>
      </c>
      <c r="P116" s="460" t="s">
        <v>537</v>
      </c>
      <c r="Q116" s="461" t="s">
        <v>2471</v>
      </c>
      <c r="R116" s="10" t="s">
        <v>2602</v>
      </c>
      <c r="S116" s="12" t="s">
        <v>2191</v>
      </c>
      <c r="T116" s="10" t="s">
        <v>1444</v>
      </c>
      <c r="U116" s="12" t="s">
        <v>87</v>
      </c>
      <c r="V116" s="10" t="s">
        <v>2793</v>
      </c>
      <c r="W116" s="454" t="s">
        <v>2939</v>
      </c>
      <c r="X116" s="10" t="s">
        <v>3380</v>
      </c>
    </row>
    <row r="117" spans="1:24" ht="38.25">
      <c r="A117" s="12" t="s">
        <v>1895</v>
      </c>
      <c r="B117" s="10" t="s">
        <v>1895</v>
      </c>
      <c r="C117" s="12">
        <f>'Language 3'!C117</f>
        <v>0</v>
      </c>
      <c r="D117" s="10" t="s">
        <v>1672</v>
      </c>
      <c r="E117" s="12" t="s">
        <v>228</v>
      </c>
      <c r="F117" s="10" t="s">
        <v>651</v>
      </c>
      <c r="G117" s="12" t="s">
        <v>165</v>
      </c>
      <c r="H117" s="10" t="s">
        <v>2016</v>
      </c>
      <c r="I117" s="454" t="s">
        <v>304</v>
      </c>
      <c r="J117" s="10" t="s">
        <v>733</v>
      </c>
      <c r="K117" s="12" t="s">
        <v>2296</v>
      </c>
      <c r="L117" s="10" t="s">
        <v>1195</v>
      </c>
      <c r="M117" s="12" t="s">
        <v>1706</v>
      </c>
      <c r="N117" s="10" t="s">
        <v>1017</v>
      </c>
      <c r="O117" s="12" t="s">
        <v>1445</v>
      </c>
      <c r="P117" s="464" t="s">
        <v>2163</v>
      </c>
      <c r="Q117" s="461" t="s">
        <v>2472</v>
      </c>
      <c r="R117" s="10" t="s">
        <v>2603</v>
      </c>
      <c r="S117" s="12" t="s">
        <v>2192</v>
      </c>
      <c r="T117" s="10" t="s">
        <v>1964</v>
      </c>
      <c r="U117" s="12" t="s">
        <v>2683</v>
      </c>
      <c r="V117" s="10" t="s">
        <v>2794</v>
      </c>
      <c r="W117" s="454" t="s">
        <v>2940</v>
      </c>
      <c r="X117" s="10" t="s">
        <v>3381</v>
      </c>
    </row>
    <row r="118" spans="1:24" ht="25.5">
      <c r="A118" s="12" t="s">
        <v>1897</v>
      </c>
      <c r="B118" s="10" t="s">
        <v>1897</v>
      </c>
      <c r="C118" s="12">
        <f>'Language 3'!C118</f>
        <v>0</v>
      </c>
      <c r="D118" s="10" t="s">
        <v>1673</v>
      </c>
      <c r="E118" s="12" t="s">
        <v>229</v>
      </c>
      <c r="F118" s="10" t="s">
        <v>652</v>
      </c>
      <c r="G118" s="12" t="s">
        <v>166</v>
      </c>
      <c r="H118" s="10" t="s">
        <v>2017</v>
      </c>
      <c r="I118" s="454" t="s">
        <v>305</v>
      </c>
      <c r="J118" s="10" t="s">
        <v>734</v>
      </c>
      <c r="K118" s="12" t="s">
        <v>2297</v>
      </c>
      <c r="L118" s="10" t="s">
        <v>1196</v>
      </c>
      <c r="M118" s="12" t="s">
        <v>1707</v>
      </c>
      <c r="N118" s="10" t="s">
        <v>1018</v>
      </c>
      <c r="O118" s="12" t="s">
        <v>1446</v>
      </c>
      <c r="P118" s="460" t="s">
        <v>2164</v>
      </c>
      <c r="Q118" s="461" t="s">
        <v>2473</v>
      </c>
      <c r="R118" s="10" t="s">
        <v>2604</v>
      </c>
      <c r="S118" s="12" t="s">
        <v>1117</v>
      </c>
      <c r="T118" s="10" t="s">
        <v>1965</v>
      </c>
      <c r="U118" s="12" t="s">
        <v>88</v>
      </c>
      <c r="V118" s="10" t="s">
        <v>2795</v>
      </c>
      <c r="W118" s="454" t="s">
        <v>2941</v>
      </c>
      <c r="X118" s="10" t="s">
        <v>3382</v>
      </c>
    </row>
    <row r="119" spans="1:24">
      <c r="A119" s="12" t="s">
        <v>1899</v>
      </c>
      <c r="B119" s="10" t="s">
        <v>1899</v>
      </c>
      <c r="C119" s="12">
        <f>'Language 3'!C119</f>
        <v>0</v>
      </c>
      <c r="D119" s="10" t="s">
        <v>1674</v>
      </c>
      <c r="E119" s="12" t="s">
        <v>230</v>
      </c>
      <c r="F119" s="10" t="s">
        <v>653</v>
      </c>
      <c r="G119" s="12" t="s">
        <v>167</v>
      </c>
      <c r="H119" s="10" t="s">
        <v>2018</v>
      </c>
      <c r="I119" s="454" t="s">
        <v>306</v>
      </c>
      <c r="J119" s="10" t="s">
        <v>735</v>
      </c>
      <c r="K119" s="12" t="s">
        <v>2298</v>
      </c>
      <c r="L119" s="10" t="s">
        <v>1197</v>
      </c>
      <c r="M119" s="12" t="s">
        <v>1708</v>
      </c>
      <c r="N119" s="10" t="s">
        <v>1019</v>
      </c>
      <c r="O119" s="12" t="s">
        <v>1447</v>
      </c>
      <c r="P119" s="460" t="s">
        <v>538</v>
      </c>
      <c r="Q119" s="461" t="s">
        <v>2474</v>
      </c>
      <c r="R119" s="10" t="s">
        <v>2474</v>
      </c>
      <c r="S119" s="12" t="s">
        <v>2193</v>
      </c>
      <c r="T119" s="10" t="s">
        <v>1966</v>
      </c>
      <c r="U119" s="12" t="s">
        <v>89</v>
      </c>
      <c r="V119" s="10" t="s">
        <v>2796</v>
      </c>
      <c r="W119" s="454" t="s">
        <v>2942</v>
      </c>
      <c r="X119" s="10" t="s">
        <v>3383</v>
      </c>
    </row>
    <row r="120" spans="1:24" ht="38.25">
      <c r="A120" s="12" t="s">
        <v>1898</v>
      </c>
      <c r="B120" s="10" t="s">
        <v>1898</v>
      </c>
      <c r="C120" s="12">
        <f>'Language 3'!C120</f>
        <v>0</v>
      </c>
      <c r="D120" s="10" t="s">
        <v>1675</v>
      </c>
      <c r="E120" s="12" t="s">
        <v>231</v>
      </c>
      <c r="F120" s="10" t="s">
        <v>654</v>
      </c>
      <c r="G120" s="12" t="s">
        <v>168</v>
      </c>
      <c r="H120" s="10" t="s">
        <v>2019</v>
      </c>
      <c r="I120" s="454" t="s">
        <v>307</v>
      </c>
      <c r="J120" s="10" t="s">
        <v>736</v>
      </c>
      <c r="K120" s="12" t="s">
        <v>2299</v>
      </c>
      <c r="L120" s="10" t="s">
        <v>1198</v>
      </c>
      <c r="M120" s="12" t="s">
        <v>1709</v>
      </c>
      <c r="N120" s="10" t="s">
        <v>1020</v>
      </c>
      <c r="O120" s="12" t="s">
        <v>1448</v>
      </c>
      <c r="P120" s="460" t="s">
        <v>2165</v>
      </c>
      <c r="Q120" s="461" t="s">
        <v>2475</v>
      </c>
      <c r="R120" s="10" t="s">
        <v>2605</v>
      </c>
      <c r="S120" s="12" t="s">
        <v>2194</v>
      </c>
      <c r="T120" s="10" t="s">
        <v>1967</v>
      </c>
      <c r="U120" s="12" t="s">
        <v>90</v>
      </c>
      <c r="V120" s="10" t="s">
        <v>2797</v>
      </c>
      <c r="W120" s="454" t="s">
        <v>2943</v>
      </c>
      <c r="X120" s="10" t="s">
        <v>3384</v>
      </c>
    </row>
    <row r="121" spans="1:24" ht="38.25">
      <c r="A121" s="12" t="s">
        <v>1896</v>
      </c>
      <c r="B121" s="10" t="s">
        <v>1896</v>
      </c>
      <c r="C121" s="12">
        <f>'Language 3'!C121</f>
        <v>0</v>
      </c>
      <c r="D121" s="10" t="s">
        <v>1676</v>
      </c>
      <c r="E121" s="12" t="s">
        <v>232</v>
      </c>
      <c r="F121" s="10" t="s">
        <v>655</v>
      </c>
      <c r="G121" s="12" t="s">
        <v>169</v>
      </c>
      <c r="H121" s="10" t="s">
        <v>2020</v>
      </c>
      <c r="I121" s="454" t="s">
        <v>308</v>
      </c>
      <c r="J121" s="10" t="s">
        <v>737</v>
      </c>
      <c r="K121" s="12" t="s">
        <v>2300</v>
      </c>
      <c r="L121" s="10" t="s">
        <v>1199</v>
      </c>
      <c r="M121" s="12" t="s">
        <v>1710</v>
      </c>
      <c r="N121" s="10" t="s">
        <v>1021</v>
      </c>
      <c r="O121" s="12" t="s">
        <v>1449</v>
      </c>
      <c r="P121" s="460" t="s">
        <v>539</v>
      </c>
      <c r="Q121" s="461" t="s">
        <v>539</v>
      </c>
      <c r="R121" s="10" t="s">
        <v>2606</v>
      </c>
      <c r="S121" s="12" t="s">
        <v>1118</v>
      </c>
      <c r="T121" s="10" t="s">
        <v>1968</v>
      </c>
      <c r="U121" s="12" t="s">
        <v>91</v>
      </c>
      <c r="V121" s="10" t="s">
        <v>2798</v>
      </c>
      <c r="W121" s="454" t="s">
        <v>2944</v>
      </c>
      <c r="X121" s="10" t="s">
        <v>3385</v>
      </c>
    </row>
    <row r="122" spans="1:24">
      <c r="A122" s="12"/>
      <c r="B122" s="10"/>
      <c r="C122" s="12"/>
      <c r="D122" s="10"/>
      <c r="E122" s="12"/>
      <c r="F122" s="10"/>
      <c r="G122" s="12"/>
      <c r="H122" s="10"/>
      <c r="I122" s="454"/>
      <c r="J122" s="10">
        <v>0</v>
      </c>
      <c r="K122" s="12">
        <v>0</v>
      </c>
      <c r="L122" s="10"/>
      <c r="M122" s="12"/>
      <c r="N122" s="10"/>
      <c r="O122" s="12"/>
      <c r="P122" s="460"/>
      <c r="Q122" s="461"/>
      <c r="R122" s="10"/>
      <c r="S122" s="12"/>
      <c r="T122" s="10">
        <v>0</v>
      </c>
      <c r="U122" s="12"/>
      <c r="V122" s="10"/>
      <c r="W122" s="454"/>
      <c r="X122" s="10">
        <v>0</v>
      </c>
    </row>
    <row r="123" spans="1:24" ht="38.25">
      <c r="A123" s="12" t="s">
        <v>1650</v>
      </c>
      <c r="B123" s="10" t="s">
        <v>1650</v>
      </c>
      <c r="C123" s="12">
        <f>'Language 3'!C123</f>
        <v>0</v>
      </c>
      <c r="D123" s="10" t="s">
        <v>1677</v>
      </c>
      <c r="E123" s="12" t="s">
        <v>233</v>
      </c>
      <c r="F123" s="10" t="s">
        <v>656</v>
      </c>
      <c r="G123" s="12" t="s">
        <v>170</v>
      </c>
      <c r="H123" s="10" t="s">
        <v>2021</v>
      </c>
      <c r="I123" s="463" t="s">
        <v>3196</v>
      </c>
      <c r="J123" s="10" t="s">
        <v>738</v>
      </c>
      <c r="K123" s="12" t="s">
        <v>594</v>
      </c>
      <c r="L123" s="10" t="s">
        <v>1200</v>
      </c>
      <c r="M123" s="12" t="s">
        <v>1711</v>
      </c>
      <c r="N123" s="10" t="s">
        <v>1022</v>
      </c>
      <c r="O123" s="12" t="s">
        <v>1450</v>
      </c>
      <c r="P123" s="460" t="s">
        <v>2166</v>
      </c>
      <c r="Q123" s="461" t="s">
        <v>2476</v>
      </c>
      <c r="R123" s="10" t="s">
        <v>2607</v>
      </c>
      <c r="S123" s="12" t="s">
        <v>2195</v>
      </c>
      <c r="T123" s="10" t="s">
        <v>1969</v>
      </c>
      <c r="U123" s="12" t="s">
        <v>92</v>
      </c>
      <c r="V123" s="10" t="s">
        <v>2799</v>
      </c>
      <c r="W123" s="454" t="s">
        <v>2945</v>
      </c>
      <c r="X123" s="10" t="s">
        <v>3386</v>
      </c>
    </row>
    <row r="124" spans="1:24" ht="38.25">
      <c r="A124" s="12" t="s">
        <v>1258</v>
      </c>
      <c r="B124" s="10" t="s">
        <v>1258</v>
      </c>
      <c r="C124" s="12">
        <f>'Language 3'!C124</f>
        <v>0</v>
      </c>
      <c r="D124" s="10" t="s">
        <v>1678</v>
      </c>
      <c r="E124" s="12" t="s">
        <v>234</v>
      </c>
      <c r="F124" s="10" t="s">
        <v>1209</v>
      </c>
      <c r="G124" s="12" t="s">
        <v>171</v>
      </c>
      <c r="H124" s="10" t="s">
        <v>748</v>
      </c>
      <c r="I124" s="454" t="s">
        <v>309</v>
      </c>
      <c r="J124" s="10" t="s">
        <v>739</v>
      </c>
      <c r="K124" s="12" t="s">
        <v>2301</v>
      </c>
      <c r="L124" s="10" t="s">
        <v>1201</v>
      </c>
      <c r="M124" s="12" t="s">
        <v>1712</v>
      </c>
      <c r="N124" s="10" t="s">
        <v>1023</v>
      </c>
      <c r="O124" s="12" t="s">
        <v>1451</v>
      </c>
      <c r="P124" s="460" t="s">
        <v>540</v>
      </c>
      <c r="Q124" s="461" t="s">
        <v>2477</v>
      </c>
      <c r="R124" s="10" t="s">
        <v>2608</v>
      </c>
      <c r="S124" s="12" t="s">
        <v>2196</v>
      </c>
      <c r="T124" s="10" t="s">
        <v>1970</v>
      </c>
      <c r="U124" s="12" t="s">
        <v>93</v>
      </c>
      <c r="V124" s="10" t="s">
        <v>2800</v>
      </c>
      <c r="W124" s="454" t="s">
        <v>2946</v>
      </c>
      <c r="X124" s="10" t="s">
        <v>3387</v>
      </c>
    </row>
    <row r="125" spans="1:24" ht="25.5">
      <c r="A125" s="12" t="s">
        <v>1260</v>
      </c>
      <c r="B125" s="10" t="s">
        <v>1770</v>
      </c>
      <c r="C125" s="12">
        <f>'Language 3'!C125</f>
        <v>0</v>
      </c>
      <c r="D125" s="10" t="s">
        <v>1679</v>
      </c>
      <c r="E125" s="12" t="s">
        <v>237</v>
      </c>
      <c r="F125" s="10" t="s">
        <v>1210</v>
      </c>
      <c r="G125" s="12" t="s">
        <v>172</v>
      </c>
      <c r="H125" s="10" t="s">
        <v>749</v>
      </c>
      <c r="I125" s="454" t="s">
        <v>310</v>
      </c>
      <c r="J125" s="10" t="s">
        <v>740</v>
      </c>
      <c r="K125" s="12" t="s">
        <v>2302</v>
      </c>
      <c r="L125" s="10" t="s">
        <v>1202</v>
      </c>
      <c r="M125" s="12" t="s">
        <v>1713</v>
      </c>
      <c r="N125" s="10" t="s">
        <v>1024</v>
      </c>
      <c r="O125" s="12" t="s">
        <v>1452</v>
      </c>
      <c r="P125" s="460" t="s">
        <v>2167</v>
      </c>
      <c r="Q125" s="461" t="s">
        <v>2478</v>
      </c>
      <c r="R125" s="10" t="s">
        <v>2609</v>
      </c>
      <c r="S125" s="12" t="s">
        <v>2197</v>
      </c>
      <c r="T125" s="10" t="s">
        <v>1971</v>
      </c>
      <c r="U125" s="12" t="s">
        <v>94</v>
      </c>
      <c r="V125" s="10" t="s">
        <v>2801</v>
      </c>
      <c r="W125" s="454" t="s">
        <v>2947</v>
      </c>
      <c r="X125" s="10" t="s">
        <v>3388</v>
      </c>
    </row>
    <row r="126" spans="1:24" ht="51">
      <c r="A126" s="12" t="s">
        <v>1261</v>
      </c>
      <c r="B126" s="10" t="s">
        <v>1771</v>
      </c>
      <c r="C126" s="12">
        <f>'Language 3'!C126</f>
        <v>0</v>
      </c>
      <c r="D126" s="10" t="s">
        <v>1680</v>
      </c>
      <c r="E126" s="12" t="s">
        <v>236</v>
      </c>
      <c r="F126" s="10" t="s">
        <v>1211</v>
      </c>
      <c r="G126" s="12" t="s">
        <v>173</v>
      </c>
      <c r="H126" s="10" t="s">
        <v>1858</v>
      </c>
      <c r="I126" s="463" t="s">
        <v>3197</v>
      </c>
      <c r="J126" s="10" t="s">
        <v>741</v>
      </c>
      <c r="K126" s="12" t="s">
        <v>2303</v>
      </c>
      <c r="L126" s="10" t="s">
        <v>1203</v>
      </c>
      <c r="M126" s="12" t="s">
        <v>581</v>
      </c>
      <c r="N126" s="10" t="s">
        <v>1025</v>
      </c>
      <c r="O126" s="12" t="s">
        <v>1453</v>
      </c>
      <c r="P126" s="460" t="s">
        <v>541</v>
      </c>
      <c r="Q126" s="461" t="s">
        <v>2479</v>
      </c>
      <c r="R126" s="10" t="s">
        <v>2610</v>
      </c>
      <c r="S126" s="12" t="s">
        <v>1119</v>
      </c>
      <c r="T126" s="10" t="s">
        <v>2183</v>
      </c>
      <c r="U126" s="12" t="s">
        <v>95</v>
      </c>
      <c r="V126" s="10" t="s">
        <v>2802</v>
      </c>
      <c r="W126" s="454" t="s">
        <v>2948</v>
      </c>
      <c r="X126" s="10" t="s">
        <v>3389</v>
      </c>
    </row>
    <row r="127" spans="1:24" ht="25.5">
      <c r="A127" s="12" t="s">
        <v>1873</v>
      </c>
      <c r="B127" s="10" t="s">
        <v>1873</v>
      </c>
      <c r="C127" s="12">
        <f>'Language 3'!C127</f>
        <v>0</v>
      </c>
      <c r="D127" s="10" t="s">
        <v>1681</v>
      </c>
      <c r="E127" s="12" t="s">
        <v>235</v>
      </c>
      <c r="F127" s="10" t="s">
        <v>1212</v>
      </c>
      <c r="G127" s="12" t="s">
        <v>174</v>
      </c>
      <c r="H127" s="10" t="s">
        <v>1859</v>
      </c>
      <c r="I127" s="454" t="s">
        <v>311</v>
      </c>
      <c r="J127" s="10" t="s">
        <v>742</v>
      </c>
      <c r="K127" s="12" t="s">
        <v>2304</v>
      </c>
      <c r="L127" s="10" t="s">
        <v>1204</v>
      </c>
      <c r="M127" s="12" t="s">
        <v>582</v>
      </c>
      <c r="N127" s="10" t="s">
        <v>1026</v>
      </c>
      <c r="O127" s="12" t="s">
        <v>1454</v>
      </c>
      <c r="P127" s="460" t="s">
        <v>2168</v>
      </c>
      <c r="Q127" s="461" t="s">
        <v>2480</v>
      </c>
      <c r="R127" s="10" t="s">
        <v>2611</v>
      </c>
      <c r="S127" s="12" t="s">
        <v>2198</v>
      </c>
      <c r="T127" s="10" t="s">
        <v>1972</v>
      </c>
      <c r="U127" s="12" t="s">
        <v>132</v>
      </c>
      <c r="V127" s="10" t="s">
        <v>2803</v>
      </c>
      <c r="W127" s="454" t="s">
        <v>2949</v>
      </c>
      <c r="X127" s="10" t="s">
        <v>3390</v>
      </c>
    </row>
    <row r="128" spans="1:24">
      <c r="A128" s="12" t="s">
        <v>1607</v>
      </c>
      <c r="B128" s="10" t="s">
        <v>1607</v>
      </c>
      <c r="C128" s="12">
        <f>'Language 3'!C128</f>
        <v>0</v>
      </c>
      <c r="D128" s="10" t="s">
        <v>1682</v>
      </c>
      <c r="E128" s="12" t="s">
        <v>1921</v>
      </c>
      <c r="F128" s="10" t="s">
        <v>1213</v>
      </c>
      <c r="G128" s="12" t="s">
        <v>175</v>
      </c>
      <c r="H128" s="10" t="s">
        <v>1860</v>
      </c>
      <c r="I128" s="454" t="s">
        <v>2000</v>
      </c>
      <c r="J128" s="10" t="s">
        <v>743</v>
      </c>
      <c r="K128" s="12" t="s">
        <v>2305</v>
      </c>
      <c r="L128" s="10" t="s">
        <v>1205</v>
      </c>
      <c r="M128" s="12" t="s">
        <v>583</v>
      </c>
      <c r="N128" s="10" t="s">
        <v>1027</v>
      </c>
      <c r="O128" s="12" t="s">
        <v>1921</v>
      </c>
      <c r="P128" s="460" t="s">
        <v>2169</v>
      </c>
      <c r="Q128" s="461" t="s">
        <v>2481</v>
      </c>
      <c r="R128" s="10" t="s">
        <v>2612</v>
      </c>
      <c r="S128" s="12" t="s">
        <v>2199</v>
      </c>
      <c r="T128" s="10" t="s">
        <v>1973</v>
      </c>
      <c r="U128" s="12" t="s">
        <v>96</v>
      </c>
      <c r="V128" s="10" t="s">
        <v>2804</v>
      </c>
      <c r="W128" s="454" t="s">
        <v>1607</v>
      </c>
      <c r="X128" s="10" t="s">
        <v>3391</v>
      </c>
    </row>
    <row r="129" spans="1:24" ht="127.5">
      <c r="A129" s="12" t="s">
        <v>1651</v>
      </c>
      <c r="B129" s="10" t="s">
        <v>1651</v>
      </c>
      <c r="C129" s="12">
        <f>'Language 3'!C129</f>
        <v>0</v>
      </c>
      <c r="D129" s="10" t="s">
        <v>1683</v>
      </c>
      <c r="E129" s="12" t="s">
        <v>1900</v>
      </c>
      <c r="F129" s="10" t="s">
        <v>435</v>
      </c>
      <c r="G129" s="12" t="s">
        <v>176</v>
      </c>
      <c r="H129" s="10" t="s">
        <v>1861</v>
      </c>
      <c r="I129" s="454" t="s">
        <v>312</v>
      </c>
      <c r="J129" s="10" t="s">
        <v>744</v>
      </c>
      <c r="K129" s="12" t="s">
        <v>2306</v>
      </c>
      <c r="L129" s="10" t="s">
        <v>1206</v>
      </c>
      <c r="M129" s="12" t="s">
        <v>584</v>
      </c>
      <c r="N129" s="10" t="s">
        <v>1028</v>
      </c>
      <c r="O129" s="12" t="s">
        <v>1455</v>
      </c>
      <c r="P129" s="464" t="s">
        <v>2170</v>
      </c>
      <c r="Q129" s="461" t="s">
        <v>2482</v>
      </c>
      <c r="R129" s="10" t="s">
        <v>2613</v>
      </c>
      <c r="S129" s="12" t="s">
        <v>1120</v>
      </c>
      <c r="T129" s="10" t="s">
        <v>1974</v>
      </c>
      <c r="U129" s="12" t="s">
        <v>97</v>
      </c>
      <c r="V129" s="10" t="s">
        <v>2805</v>
      </c>
      <c r="W129" s="454" t="s">
        <v>2950</v>
      </c>
      <c r="X129" s="10" t="s">
        <v>3392</v>
      </c>
    </row>
    <row r="130" spans="1:24" ht="102">
      <c r="A130" s="12" t="s">
        <v>1652</v>
      </c>
      <c r="B130" s="10" t="s">
        <v>1652</v>
      </c>
      <c r="C130" s="12">
        <f>'Language 3'!C130</f>
        <v>0</v>
      </c>
      <c r="D130" s="10" t="s">
        <v>1684</v>
      </c>
      <c r="E130" s="12" t="s">
        <v>225</v>
      </c>
      <c r="F130" s="10" t="s">
        <v>436</v>
      </c>
      <c r="G130" s="12" t="s">
        <v>1568</v>
      </c>
      <c r="H130" s="10" t="s">
        <v>2091</v>
      </c>
      <c r="I130" s="463" t="s">
        <v>3198</v>
      </c>
      <c r="J130" s="10" t="s">
        <v>745</v>
      </c>
      <c r="K130" s="12" t="s">
        <v>1756</v>
      </c>
      <c r="L130" s="10" t="s">
        <v>1207</v>
      </c>
      <c r="M130" s="12" t="s">
        <v>1347</v>
      </c>
      <c r="N130" s="10" t="s">
        <v>1029</v>
      </c>
      <c r="O130" s="12" t="s">
        <v>1456</v>
      </c>
      <c r="P130" s="460" t="s">
        <v>542</v>
      </c>
      <c r="Q130" s="461" t="s">
        <v>2483</v>
      </c>
      <c r="R130" s="10" t="s">
        <v>2614</v>
      </c>
      <c r="S130" s="12" t="s">
        <v>1121</v>
      </c>
      <c r="T130" s="10" t="s">
        <v>1975</v>
      </c>
      <c r="U130" s="12" t="s">
        <v>98</v>
      </c>
      <c r="V130" s="10" t="s">
        <v>2806</v>
      </c>
      <c r="W130" s="454" t="s">
        <v>2951</v>
      </c>
      <c r="X130" s="10" t="s">
        <v>3393</v>
      </c>
    </row>
    <row r="131" spans="1:24" ht="140.25">
      <c r="A131" s="12" t="s">
        <v>1871</v>
      </c>
      <c r="B131" s="10" t="s">
        <v>1871</v>
      </c>
      <c r="C131" s="12">
        <f>'Language 3'!C131</f>
        <v>0</v>
      </c>
      <c r="D131" s="10" t="s">
        <v>1685</v>
      </c>
      <c r="E131" s="12" t="s">
        <v>226</v>
      </c>
      <c r="F131" s="10" t="s">
        <v>1567</v>
      </c>
      <c r="G131" s="12" t="s">
        <v>1306</v>
      </c>
      <c r="H131" s="10" t="s">
        <v>2092</v>
      </c>
      <c r="I131" s="454" t="s">
        <v>313</v>
      </c>
      <c r="J131" s="10" t="s">
        <v>746</v>
      </c>
      <c r="K131" s="12" t="s">
        <v>1757</v>
      </c>
      <c r="L131" s="10" t="s">
        <v>1208</v>
      </c>
      <c r="M131" s="12" t="s">
        <v>2666</v>
      </c>
      <c r="N131" s="10" t="s">
        <v>2111</v>
      </c>
      <c r="O131" s="12" t="s">
        <v>1457</v>
      </c>
      <c r="P131" s="460" t="s">
        <v>543</v>
      </c>
      <c r="Q131" s="461" t="s">
        <v>2484</v>
      </c>
      <c r="R131" s="10" t="s">
        <v>2615</v>
      </c>
      <c r="S131" s="12" t="s">
        <v>1122</v>
      </c>
      <c r="T131" s="10" t="s">
        <v>1976</v>
      </c>
      <c r="U131" s="12" t="s">
        <v>2684</v>
      </c>
      <c r="V131" s="10" t="s">
        <v>2807</v>
      </c>
      <c r="W131" s="454" t="s">
        <v>2952</v>
      </c>
      <c r="X131" s="10" t="s">
        <v>3394</v>
      </c>
    </row>
    <row r="132" spans="1:24" ht="89.25">
      <c r="A132" s="12" t="s">
        <v>1872</v>
      </c>
      <c r="B132" s="10" t="s">
        <v>1872</v>
      </c>
      <c r="C132" s="12">
        <f>'Language 3'!C132</f>
        <v>0</v>
      </c>
      <c r="D132" s="10" t="s">
        <v>1686</v>
      </c>
      <c r="E132" s="12" t="s">
        <v>227</v>
      </c>
      <c r="F132" s="10" t="s">
        <v>437</v>
      </c>
      <c r="G132" s="12" t="s">
        <v>1307</v>
      </c>
      <c r="H132" s="10" t="s">
        <v>400</v>
      </c>
      <c r="I132" s="454" t="s">
        <v>1323</v>
      </c>
      <c r="J132" s="10" t="s">
        <v>747</v>
      </c>
      <c r="K132" s="12" t="s">
        <v>1758</v>
      </c>
      <c r="L132" s="10" t="s">
        <v>1491</v>
      </c>
      <c r="M132" s="12" t="s">
        <v>2667</v>
      </c>
      <c r="N132" s="10" t="s">
        <v>2112</v>
      </c>
      <c r="O132" s="12" t="s">
        <v>1458</v>
      </c>
      <c r="P132" s="460" t="s">
        <v>544</v>
      </c>
      <c r="Q132" s="461" t="s">
        <v>2485</v>
      </c>
      <c r="R132" s="10" t="s">
        <v>2616</v>
      </c>
      <c r="S132" s="12" t="s">
        <v>1123</v>
      </c>
      <c r="T132" s="10" t="s">
        <v>1977</v>
      </c>
      <c r="U132" s="12" t="s">
        <v>99</v>
      </c>
      <c r="V132" s="10" t="s">
        <v>2808</v>
      </c>
      <c r="W132" s="454" t="s">
        <v>2953</v>
      </c>
      <c r="X132" s="10" t="s">
        <v>3395</v>
      </c>
    </row>
    <row r="133" spans="1:24" ht="216.75">
      <c r="A133" s="12" t="s">
        <v>3159</v>
      </c>
      <c r="B133" s="10" t="s">
        <v>3159</v>
      </c>
      <c r="C133" s="12">
        <f>'Language 3'!C133</f>
        <v>0</v>
      </c>
      <c r="D133" s="482" t="s">
        <v>3159</v>
      </c>
      <c r="E133" s="470" t="s">
        <v>3161</v>
      </c>
      <c r="F133" s="482" t="s">
        <v>3159</v>
      </c>
      <c r="G133" s="482" t="s">
        <v>3159</v>
      </c>
      <c r="H133" s="482" t="s">
        <v>3159</v>
      </c>
      <c r="I133" s="463" t="s">
        <v>3199</v>
      </c>
      <c r="J133" s="482" t="s">
        <v>3159</v>
      </c>
      <c r="K133" s="482" t="s">
        <v>3159</v>
      </c>
      <c r="L133" s="482" t="s">
        <v>3159</v>
      </c>
      <c r="M133" s="482" t="s">
        <v>3159</v>
      </c>
      <c r="N133" s="482" t="s">
        <v>3159</v>
      </c>
      <c r="O133" s="482" t="s">
        <v>3159</v>
      </c>
      <c r="P133" s="482" t="s">
        <v>3159</v>
      </c>
      <c r="Q133" s="482" t="s">
        <v>3159</v>
      </c>
      <c r="R133" s="482" t="s">
        <v>3159</v>
      </c>
      <c r="S133" s="482" t="s">
        <v>3159</v>
      </c>
      <c r="T133" s="482" t="s">
        <v>3159</v>
      </c>
      <c r="U133" s="482" t="s">
        <v>3159</v>
      </c>
      <c r="V133" s="482" t="s">
        <v>3159</v>
      </c>
      <c r="W133" s="482" t="s">
        <v>3159</v>
      </c>
      <c r="X133" s="10" t="s">
        <v>3396</v>
      </c>
    </row>
    <row r="134" spans="1:24" ht="204">
      <c r="A134" s="12" t="s">
        <v>1773</v>
      </c>
      <c r="B134" s="10" t="s">
        <v>2200</v>
      </c>
      <c r="C134" s="12">
        <f>'Language 3'!C134</f>
        <v>0</v>
      </c>
      <c r="D134" s="10" t="s">
        <v>1472</v>
      </c>
      <c r="E134" s="12" t="s">
        <v>238</v>
      </c>
      <c r="F134" s="10" t="s">
        <v>438</v>
      </c>
      <c r="G134" s="12" t="s">
        <v>1095</v>
      </c>
      <c r="H134" s="10" t="s">
        <v>146</v>
      </c>
      <c r="I134" s="463" t="s">
        <v>3200</v>
      </c>
      <c r="J134" s="10" t="s">
        <v>2276</v>
      </c>
      <c r="K134" s="12" t="s">
        <v>1997</v>
      </c>
      <c r="L134" s="10" t="s">
        <v>1492</v>
      </c>
      <c r="M134" s="12" t="s">
        <v>2668</v>
      </c>
      <c r="N134" s="10" t="s">
        <v>2113</v>
      </c>
      <c r="O134" s="12" t="s">
        <v>1459</v>
      </c>
      <c r="P134" s="466" t="s">
        <v>545</v>
      </c>
      <c r="Q134" s="467" t="s">
        <v>2486</v>
      </c>
      <c r="R134" s="10" t="s">
        <v>2617</v>
      </c>
      <c r="S134" s="12" t="s">
        <v>1124</v>
      </c>
      <c r="T134" s="10" t="s">
        <v>1978</v>
      </c>
      <c r="U134" s="12" t="s">
        <v>100</v>
      </c>
      <c r="V134" s="10" t="s">
        <v>2809</v>
      </c>
      <c r="W134" s="454" t="s">
        <v>2954</v>
      </c>
      <c r="X134" s="10" t="s">
        <v>3397</v>
      </c>
    </row>
    <row r="135" spans="1:24" ht="242.25">
      <c r="A135" s="12" t="s">
        <v>2106</v>
      </c>
      <c r="B135" s="10" t="s">
        <v>2107</v>
      </c>
      <c r="C135" s="12">
        <f>'Language 3'!C135</f>
        <v>0</v>
      </c>
      <c r="D135" s="10" t="s">
        <v>2108</v>
      </c>
      <c r="E135" s="12" t="s">
        <v>1362</v>
      </c>
      <c r="F135" s="10" t="s">
        <v>1865</v>
      </c>
      <c r="G135" s="12" t="s">
        <v>1243</v>
      </c>
      <c r="H135" s="10" t="s">
        <v>3053</v>
      </c>
      <c r="I135" s="463" t="s">
        <v>3201</v>
      </c>
      <c r="J135" s="10" t="s">
        <v>1365</v>
      </c>
      <c r="K135" s="12" t="s">
        <v>1244</v>
      </c>
      <c r="L135" s="10" t="s">
        <v>1493</v>
      </c>
      <c r="M135" s="12" t="s">
        <v>2669</v>
      </c>
      <c r="N135" s="10" t="s">
        <v>2114</v>
      </c>
      <c r="O135" s="12" t="s">
        <v>1460</v>
      </c>
      <c r="P135" s="460" t="s">
        <v>2171</v>
      </c>
      <c r="Q135" s="461" t="s">
        <v>2487</v>
      </c>
      <c r="R135" s="10" t="s">
        <v>2618</v>
      </c>
      <c r="S135" s="12" t="s">
        <v>1142</v>
      </c>
      <c r="T135" s="10" t="s">
        <v>1979</v>
      </c>
      <c r="U135" s="12" t="s">
        <v>101</v>
      </c>
      <c r="V135" s="10" t="s">
        <v>2810</v>
      </c>
      <c r="W135" s="454" t="s">
        <v>2955</v>
      </c>
      <c r="X135" s="10" t="s">
        <v>3398</v>
      </c>
    </row>
    <row r="136" spans="1:24" ht="76.5">
      <c r="A136" s="12" t="s">
        <v>397</v>
      </c>
      <c r="B136" s="10" t="s">
        <v>397</v>
      </c>
      <c r="C136" s="12">
        <f>'Language 3'!C136</f>
        <v>0</v>
      </c>
      <c r="D136" s="10" t="s">
        <v>1478</v>
      </c>
      <c r="E136" s="12" t="s">
        <v>1319</v>
      </c>
      <c r="F136" s="10" t="s">
        <v>1220</v>
      </c>
      <c r="G136" s="12" t="s">
        <v>1096</v>
      </c>
      <c r="H136" s="10" t="s">
        <v>147</v>
      </c>
      <c r="I136" s="454" t="s">
        <v>432</v>
      </c>
      <c r="J136" s="10" t="s">
        <v>2277</v>
      </c>
      <c r="K136" s="12" t="s">
        <v>1759</v>
      </c>
      <c r="L136" s="10" t="s">
        <v>1101</v>
      </c>
      <c r="M136" s="12" t="s">
        <v>2670</v>
      </c>
      <c r="N136" s="10" t="s">
        <v>2062</v>
      </c>
      <c r="O136" s="12" t="s">
        <v>1461</v>
      </c>
      <c r="P136" s="460" t="s">
        <v>1863</v>
      </c>
      <c r="Q136" s="461" t="s">
        <v>2488</v>
      </c>
      <c r="R136" s="10" t="s">
        <v>2619</v>
      </c>
      <c r="S136" s="12" t="s">
        <v>908</v>
      </c>
      <c r="T136" s="10" t="s">
        <v>1980</v>
      </c>
      <c r="U136" s="12" t="s">
        <v>102</v>
      </c>
      <c r="V136" s="10" t="s">
        <v>2811</v>
      </c>
      <c r="W136" s="454" t="s">
        <v>2956</v>
      </c>
      <c r="X136" s="10" t="s">
        <v>3399</v>
      </c>
    </row>
    <row r="137" spans="1:24" ht="25.5">
      <c r="A137" s="12" t="s">
        <v>1774</v>
      </c>
      <c r="B137" s="10" t="s">
        <v>1402</v>
      </c>
      <c r="C137" s="12">
        <f>'Language 3'!C137</f>
        <v>0</v>
      </c>
      <c r="D137" s="10" t="s">
        <v>1479</v>
      </c>
      <c r="E137" s="12" t="s">
        <v>1320</v>
      </c>
      <c r="F137" s="10" t="s">
        <v>1221</v>
      </c>
      <c r="G137" s="12" t="s">
        <v>1097</v>
      </c>
      <c r="H137" s="10" t="s">
        <v>148</v>
      </c>
      <c r="I137" s="454" t="s">
        <v>433</v>
      </c>
      <c r="J137" s="10" t="s">
        <v>2278</v>
      </c>
      <c r="K137" s="12" t="s">
        <v>1760</v>
      </c>
      <c r="L137" s="10" t="s">
        <v>1102</v>
      </c>
      <c r="M137" s="12" t="s">
        <v>2671</v>
      </c>
      <c r="N137" s="10" t="s">
        <v>2063</v>
      </c>
      <c r="O137" s="12" t="s">
        <v>1462</v>
      </c>
      <c r="P137" s="460" t="s">
        <v>1864</v>
      </c>
      <c r="Q137" s="461" t="s">
        <v>2489</v>
      </c>
      <c r="R137" s="10" t="s">
        <v>2620</v>
      </c>
      <c r="S137" s="12" t="s">
        <v>1125</v>
      </c>
      <c r="T137" s="10" t="s">
        <v>1981</v>
      </c>
      <c r="U137" s="12" t="s">
        <v>103</v>
      </c>
      <c r="V137" s="10" t="s">
        <v>2812</v>
      </c>
      <c r="W137" s="454" t="s">
        <v>2957</v>
      </c>
      <c r="X137" s="10" t="s">
        <v>3400</v>
      </c>
    </row>
    <row r="138" spans="1:24" ht="38.25">
      <c r="A138" s="12" t="s">
        <v>1403</v>
      </c>
      <c r="B138" s="10" t="s">
        <v>1403</v>
      </c>
      <c r="C138" s="12">
        <f>'Language 3'!C138</f>
        <v>0</v>
      </c>
      <c r="D138" s="10" t="s">
        <v>1480</v>
      </c>
      <c r="E138" s="12" t="s">
        <v>1321</v>
      </c>
      <c r="F138" s="10" t="s">
        <v>1222</v>
      </c>
      <c r="G138" s="12" t="s">
        <v>1098</v>
      </c>
      <c r="H138" s="10" t="s">
        <v>149</v>
      </c>
      <c r="I138" s="454" t="s">
        <v>434</v>
      </c>
      <c r="J138" s="10" t="s">
        <v>2279</v>
      </c>
      <c r="K138" s="12" t="s">
        <v>1761</v>
      </c>
      <c r="L138" s="10" t="s">
        <v>1103</v>
      </c>
      <c r="M138" s="12" t="s">
        <v>2672</v>
      </c>
      <c r="N138" s="10" t="s">
        <v>2064</v>
      </c>
      <c r="O138" s="12" t="s">
        <v>1463</v>
      </c>
      <c r="P138" s="460" t="s">
        <v>546</v>
      </c>
      <c r="Q138" s="461" t="s">
        <v>2490</v>
      </c>
      <c r="R138" s="10" t="s">
        <v>2621</v>
      </c>
      <c r="S138" s="12" t="s">
        <v>909</v>
      </c>
      <c r="T138" s="10" t="s">
        <v>1982</v>
      </c>
      <c r="U138" s="12" t="s">
        <v>104</v>
      </c>
      <c r="V138" s="10" t="s">
        <v>2813</v>
      </c>
      <c r="W138" s="454" t="s">
        <v>2958</v>
      </c>
      <c r="X138" s="10" t="s">
        <v>3401</v>
      </c>
    </row>
    <row r="139" spans="1:24" ht="38.25">
      <c r="A139" s="12" t="s">
        <v>3160</v>
      </c>
      <c r="B139" s="249" t="s">
        <v>3160</v>
      </c>
      <c r="C139" s="12">
        <f>'Language 3'!C139</f>
        <v>0</v>
      </c>
      <c r="D139" s="483" t="s">
        <v>3160</v>
      </c>
      <c r="E139" s="470" t="s">
        <v>3170</v>
      </c>
      <c r="F139" s="483" t="s">
        <v>3160</v>
      </c>
      <c r="G139" s="483" t="s">
        <v>3160</v>
      </c>
      <c r="H139" s="483" t="s">
        <v>3160</v>
      </c>
      <c r="I139" s="463" t="s">
        <v>3202</v>
      </c>
      <c r="J139" s="483" t="s">
        <v>3160</v>
      </c>
      <c r="K139" s="483" t="s">
        <v>3160</v>
      </c>
      <c r="L139" s="483" t="s">
        <v>3160</v>
      </c>
      <c r="M139" s="483" t="s">
        <v>3160</v>
      </c>
      <c r="N139" s="483" t="s">
        <v>3160</v>
      </c>
      <c r="O139" s="483" t="s">
        <v>3160</v>
      </c>
      <c r="P139" s="483" t="s">
        <v>3160</v>
      </c>
      <c r="Q139" s="483" t="s">
        <v>3160</v>
      </c>
      <c r="R139" s="483" t="s">
        <v>3160</v>
      </c>
      <c r="S139" s="483" t="s">
        <v>3160</v>
      </c>
      <c r="T139" s="483" t="s">
        <v>3160</v>
      </c>
      <c r="U139" s="483" t="s">
        <v>3160</v>
      </c>
      <c r="V139" s="483" t="s">
        <v>3160</v>
      </c>
      <c r="W139" s="483" t="s">
        <v>3160</v>
      </c>
      <c r="X139" s="249" t="s">
        <v>3402</v>
      </c>
    </row>
    <row r="140" spans="1:24" ht="204">
      <c r="A140" s="12" t="s">
        <v>1340</v>
      </c>
      <c r="B140" s="10" t="s">
        <v>1340</v>
      </c>
      <c r="C140" s="12">
        <f>'Language 3'!C140</f>
        <v>0</v>
      </c>
      <c r="D140" s="10" t="s">
        <v>1481</v>
      </c>
      <c r="E140" s="12" t="s">
        <v>1616</v>
      </c>
      <c r="F140" s="10" t="s">
        <v>135</v>
      </c>
      <c r="G140" s="12" t="s">
        <v>658</v>
      </c>
      <c r="H140" s="10" t="s">
        <v>150</v>
      </c>
      <c r="I140" s="454" t="s">
        <v>1827</v>
      </c>
      <c r="J140" s="10" t="s">
        <v>2280</v>
      </c>
      <c r="K140" s="12" t="s">
        <v>1762</v>
      </c>
      <c r="L140" s="10" t="s">
        <v>2184</v>
      </c>
      <c r="M140" s="12" t="s">
        <v>2318</v>
      </c>
      <c r="N140" s="10" t="s">
        <v>2065</v>
      </c>
      <c r="O140" s="12" t="s">
        <v>1464</v>
      </c>
      <c r="P140" s="460" t="s">
        <v>548</v>
      </c>
      <c r="Q140" s="461" t="s">
        <v>2491</v>
      </c>
      <c r="R140" s="10" t="s">
        <v>2622</v>
      </c>
      <c r="S140" s="12" t="s">
        <v>1126</v>
      </c>
      <c r="T140" s="10" t="s">
        <v>1996</v>
      </c>
      <c r="U140" s="12" t="s">
        <v>105</v>
      </c>
      <c r="V140" s="10" t="s">
        <v>2814</v>
      </c>
      <c r="W140" s="454" t="s">
        <v>2959</v>
      </c>
      <c r="X140" s="10" t="s">
        <v>3403</v>
      </c>
    </row>
    <row r="141" spans="1:24" ht="51">
      <c r="A141" s="12" t="s">
        <v>1255</v>
      </c>
      <c r="B141" s="10" t="s">
        <v>1255</v>
      </c>
      <c r="C141" s="12">
        <f>'Language 3'!C141</f>
        <v>0</v>
      </c>
      <c r="D141" s="10" t="s">
        <v>1482</v>
      </c>
      <c r="E141" s="12" t="s">
        <v>2662</v>
      </c>
      <c r="F141" s="10" t="s">
        <v>136</v>
      </c>
      <c r="G141" s="12" t="s">
        <v>1099</v>
      </c>
      <c r="H141" s="10" t="s">
        <v>151</v>
      </c>
      <c r="I141" s="454" t="s">
        <v>2047</v>
      </c>
      <c r="J141" s="10" t="s">
        <v>2281</v>
      </c>
      <c r="K141" s="12" t="s">
        <v>1763</v>
      </c>
      <c r="L141" s="10" t="s">
        <v>1223</v>
      </c>
      <c r="M141" s="12" t="s">
        <v>2673</v>
      </c>
      <c r="N141" s="10" t="s">
        <v>2066</v>
      </c>
      <c r="O141" s="12" t="s">
        <v>1465</v>
      </c>
      <c r="P141" s="460" t="s">
        <v>547</v>
      </c>
      <c r="Q141" s="461" t="s">
        <v>2492</v>
      </c>
      <c r="R141" s="10" t="s">
        <v>2623</v>
      </c>
      <c r="S141" s="12" t="s">
        <v>1127</v>
      </c>
      <c r="T141" s="10" t="s">
        <v>1983</v>
      </c>
      <c r="U141" s="12" t="s">
        <v>106</v>
      </c>
      <c r="V141" s="10" t="s">
        <v>2832</v>
      </c>
      <c r="W141" s="454" t="s">
        <v>2960</v>
      </c>
      <c r="X141" s="10" t="s">
        <v>3404</v>
      </c>
    </row>
    <row r="142" spans="1:24" ht="127.5">
      <c r="A142" s="12" t="s">
        <v>1419</v>
      </c>
      <c r="B142" s="10" t="s">
        <v>1419</v>
      </c>
      <c r="C142" s="12">
        <f>'Language 3'!C142</f>
        <v>0</v>
      </c>
      <c r="D142" s="10" t="s">
        <v>1483</v>
      </c>
      <c r="E142" s="12" t="s">
        <v>2663</v>
      </c>
      <c r="F142" s="10" t="s">
        <v>137</v>
      </c>
      <c r="G142" s="12" t="s">
        <v>1100</v>
      </c>
      <c r="H142" s="10" t="s">
        <v>152</v>
      </c>
      <c r="I142" s="454" t="s">
        <v>2048</v>
      </c>
      <c r="J142" s="10" t="s">
        <v>2282</v>
      </c>
      <c r="K142" s="12" t="s">
        <v>1764</v>
      </c>
      <c r="L142" s="10" t="s">
        <v>1224</v>
      </c>
      <c r="M142" s="12" t="s">
        <v>1318</v>
      </c>
      <c r="N142" s="10" t="s">
        <v>2067</v>
      </c>
      <c r="O142" s="12" t="s">
        <v>1466</v>
      </c>
      <c r="P142" s="460" t="s">
        <v>2172</v>
      </c>
      <c r="Q142" s="461" t="s">
        <v>2493</v>
      </c>
      <c r="R142" s="10" t="s">
        <v>2624</v>
      </c>
      <c r="S142" s="12" t="s">
        <v>1128</v>
      </c>
      <c r="T142" s="10" t="s">
        <v>1984</v>
      </c>
      <c r="U142" s="12" t="s">
        <v>133</v>
      </c>
      <c r="V142" s="10" t="s">
        <v>2815</v>
      </c>
      <c r="W142" s="454" t="s">
        <v>2961</v>
      </c>
      <c r="X142" s="10" t="s">
        <v>3405</v>
      </c>
    </row>
    <row r="143" spans="1:24" ht="140.25">
      <c r="A143" s="12" t="s">
        <v>2664</v>
      </c>
      <c r="B143" s="10" t="s">
        <v>2664</v>
      </c>
      <c r="C143" s="12">
        <f>'Language 3'!C143</f>
        <v>0</v>
      </c>
      <c r="D143" s="10" t="s">
        <v>1322</v>
      </c>
      <c r="E143" s="12" t="s">
        <v>2665</v>
      </c>
      <c r="F143" s="10" t="s">
        <v>138</v>
      </c>
      <c r="G143" s="12" t="s">
        <v>1929</v>
      </c>
      <c r="H143" s="10" t="s">
        <v>153</v>
      </c>
      <c r="I143" s="454" t="s">
        <v>2049</v>
      </c>
      <c r="J143" s="10" t="s">
        <v>2283</v>
      </c>
      <c r="K143" s="12" t="s">
        <v>1765</v>
      </c>
      <c r="L143" s="10" t="s">
        <v>1225</v>
      </c>
      <c r="M143" s="12" t="s">
        <v>2674</v>
      </c>
      <c r="N143" s="10" t="s">
        <v>2068</v>
      </c>
      <c r="O143" s="12" t="s">
        <v>1467</v>
      </c>
      <c r="P143" s="460" t="s">
        <v>549</v>
      </c>
      <c r="Q143" s="461" t="s">
        <v>2494</v>
      </c>
      <c r="R143" s="10" t="s">
        <v>2625</v>
      </c>
      <c r="S143" s="12" t="s">
        <v>1129</v>
      </c>
      <c r="T143" s="10" t="s">
        <v>1985</v>
      </c>
      <c r="U143" s="12" t="s">
        <v>107</v>
      </c>
      <c r="V143" s="10" t="s">
        <v>2816</v>
      </c>
      <c r="W143" s="454" t="s">
        <v>2962</v>
      </c>
      <c r="X143" s="10" t="s">
        <v>3406</v>
      </c>
    </row>
    <row r="144" spans="1:24" ht="127.5">
      <c r="A144" s="12" t="s">
        <v>1257</v>
      </c>
      <c r="B144" s="10" t="s">
        <v>1257</v>
      </c>
      <c r="C144" s="12">
        <f>'Language 3'!C144</f>
        <v>0</v>
      </c>
      <c r="D144" s="10" t="s">
        <v>672</v>
      </c>
      <c r="E144" s="12" t="s">
        <v>1338</v>
      </c>
      <c r="F144" s="10" t="s">
        <v>139</v>
      </c>
      <c r="G144" s="12" t="s">
        <v>1930</v>
      </c>
      <c r="H144" s="10" t="s">
        <v>154</v>
      </c>
      <c r="I144" s="454" t="s">
        <v>1428</v>
      </c>
      <c r="J144" s="10" t="s">
        <v>912</v>
      </c>
      <c r="K144" s="12" t="s">
        <v>1766</v>
      </c>
      <c r="L144" s="10" t="s">
        <v>1226</v>
      </c>
      <c r="M144" s="12" t="s">
        <v>1360</v>
      </c>
      <c r="N144" s="10" t="s">
        <v>2069</v>
      </c>
      <c r="O144" s="12" t="s">
        <v>1468</v>
      </c>
      <c r="P144" s="460" t="s">
        <v>2173</v>
      </c>
      <c r="Q144" s="461" t="s">
        <v>2495</v>
      </c>
      <c r="R144" s="10" t="s">
        <v>2626</v>
      </c>
      <c r="S144" s="12" t="s">
        <v>1130</v>
      </c>
      <c r="T144" s="10" t="s">
        <v>1986</v>
      </c>
      <c r="U144" s="12" t="s">
        <v>108</v>
      </c>
      <c r="V144" s="10" t="s">
        <v>2817</v>
      </c>
      <c r="W144" s="454" t="s">
        <v>2963</v>
      </c>
      <c r="X144" s="10" t="s">
        <v>3407</v>
      </c>
    </row>
    <row r="145" spans="1:24" ht="89.25">
      <c r="A145" s="12" t="s">
        <v>1256</v>
      </c>
      <c r="B145" s="10" t="s">
        <v>1256</v>
      </c>
      <c r="C145" s="12">
        <f>'Language 3'!C145</f>
        <v>0</v>
      </c>
      <c r="D145" s="10" t="s">
        <v>673</v>
      </c>
      <c r="E145" s="12" t="s">
        <v>798</v>
      </c>
      <c r="F145" s="10" t="s">
        <v>140</v>
      </c>
      <c r="G145" s="12" t="s">
        <v>1931</v>
      </c>
      <c r="H145" s="10" t="s">
        <v>155</v>
      </c>
      <c r="I145" s="454" t="s">
        <v>1429</v>
      </c>
      <c r="J145" s="10" t="s">
        <v>913</v>
      </c>
      <c r="K145" s="12" t="s">
        <v>1767</v>
      </c>
      <c r="L145" s="10" t="s">
        <v>945</v>
      </c>
      <c r="M145" s="12" t="s">
        <v>1361</v>
      </c>
      <c r="N145" s="10" t="s">
        <v>2070</v>
      </c>
      <c r="O145" s="12" t="s">
        <v>1469</v>
      </c>
      <c r="P145" s="460" t="s">
        <v>550</v>
      </c>
      <c r="Q145" s="461" t="s">
        <v>2496</v>
      </c>
      <c r="R145" s="10" t="s">
        <v>2627</v>
      </c>
      <c r="S145" s="12" t="s">
        <v>1131</v>
      </c>
      <c r="T145" s="10" t="s">
        <v>1987</v>
      </c>
      <c r="U145" s="12" t="s">
        <v>109</v>
      </c>
      <c r="V145" s="10" t="s">
        <v>2818</v>
      </c>
      <c r="W145" s="454" t="s">
        <v>2964</v>
      </c>
      <c r="X145" s="10" t="s">
        <v>3408</v>
      </c>
    </row>
    <row r="146" spans="1:24" ht="114.75">
      <c r="A146" s="12" t="s">
        <v>1768</v>
      </c>
      <c r="B146" s="10" t="s">
        <v>1768</v>
      </c>
      <c r="C146" s="12">
        <f>'Language 3'!C146</f>
        <v>0</v>
      </c>
      <c r="D146" s="10" t="s">
        <v>674</v>
      </c>
      <c r="E146" s="12" t="s">
        <v>1339</v>
      </c>
      <c r="F146" s="10" t="s">
        <v>141</v>
      </c>
      <c r="G146" s="12" t="s">
        <v>796</v>
      </c>
      <c r="H146" s="10" t="s">
        <v>888</v>
      </c>
      <c r="I146" s="454" t="s">
        <v>1324</v>
      </c>
      <c r="J146" s="10" t="s">
        <v>914</v>
      </c>
      <c r="K146" s="12" t="s">
        <v>399</v>
      </c>
      <c r="L146" s="10" t="s">
        <v>946</v>
      </c>
      <c r="M146" s="12" t="s">
        <v>2046</v>
      </c>
      <c r="N146" s="10" t="s">
        <v>2071</v>
      </c>
      <c r="O146" s="12" t="s">
        <v>1470</v>
      </c>
      <c r="P146" s="460" t="s">
        <v>1862</v>
      </c>
      <c r="Q146" s="461" t="s">
        <v>2497</v>
      </c>
      <c r="R146" s="10" t="s">
        <v>2628</v>
      </c>
      <c r="S146" s="12" t="s">
        <v>1484</v>
      </c>
      <c r="T146" s="10" t="s">
        <v>1988</v>
      </c>
      <c r="U146" s="12" t="s">
        <v>110</v>
      </c>
      <c r="V146" s="10" t="s">
        <v>2819</v>
      </c>
      <c r="W146" s="454" t="s">
        <v>2965</v>
      </c>
      <c r="X146" s="10" t="s">
        <v>3409</v>
      </c>
    </row>
    <row r="147" spans="1:24" ht="180">
      <c r="A147" s="12" t="s">
        <v>1775</v>
      </c>
      <c r="B147" s="10" t="s">
        <v>1775</v>
      </c>
      <c r="C147" s="12">
        <f>'Language 3'!C147</f>
        <v>0</v>
      </c>
      <c r="D147" s="480" t="s">
        <v>1775</v>
      </c>
      <c r="E147" s="12" t="s">
        <v>1166</v>
      </c>
      <c r="F147" s="480" t="s">
        <v>1775</v>
      </c>
      <c r="G147" s="12" t="s">
        <v>1219</v>
      </c>
      <c r="H147" s="10" t="s">
        <v>3052</v>
      </c>
      <c r="I147" s="463" t="s">
        <v>3203</v>
      </c>
      <c r="J147" s="480" t="s">
        <v>1775</v>
      </c>
      <c r="K147" s="12" t="s">
        <v>602</v>
      </c>
      <c r="L147" s="480" t="s">
        <v>1775</v>
      </c>
      <c r="M147" s="480" t="s">
        <v>1775</v>
      </c>
      <c r="N147" s="484" t="s">
        <v>424</v>
      </c>
      <c r="O147" s="12" t="s">
        <v>935</v>
      </c>
      <c r="P147" s="464" t="s">
        <v>2174</v>
      </c>
      <c r="Q147" s="461" t="s">
        <v>2498</v>
      </c>
      <c r="R147" s="10" t="s">
        <v>2629</v>
      </c>
      <c r="S147" s="12" t="s">
        <v>1132</v>
      </c>
      <c r="T147" s="10" t="s">
        <v>387</v>
      </c>
      <c r="U147" s="12" t="s">
        <v>111</v>
      </c>
      <c r="V147" s="10" t="s">
        <v>2820</v>
      </c>
      <c r="W147" s="454" t="s">
        <v>2966</v>
      </c>
      <c r="X147" s="10" t="s">
        <v>3410</v>
      </c>
    </row>
    <row r="148" spans="1:24" ht="54">
      <c r="A148" s="12" t="s">
        <v>1776</v>
      </c>
      <c r="B148" s="10" t="s">
        <v>1776</v>
      </c>
      <c r="C148" s="12">
        <f>'Language 3'!C148</f>
        <v>0</v>
      </c>
      <c r="D148" s="480" t="s">
        <v>1776</v>
      </c>
      <c r="E148" s="12" t="s">
        <v>1167</v>
      </c>
      <c r="F148" s="480" t="s">
        <v>1776</v>
      </c>
      <c r="G148" s="12" t="s">
        <v>1687</v>
      </c>
      <c r="H148" s="10" t="s">
        <v>3026</v>
      </c>
      <c r="I148" s="463" t="s">
        <v>3204</v>
      </c>
      <c r="J148" s="480" t="s">
        <v>1776</v>
      </c>
      <c r="K148" s="12" t="s">
        <v>595</v>
      </c>
      <c r="L148" s="480" t="s">
        <v>1776</v>
      </c>
      <c r="M148" s="480" t="s">
        <v>1776</v>
      </c>
      <c r="N148" s="484" t="s">
        <v>425</v>
      </c>
      <c r="O148" s="12" t="s">
        <v>936</v>
      </c>
      <c r="P148" s="460" t="s">
        <v>2175</v>
      </c>
      <c r="Q148" s="461" t="s">
        <v>2499</v>
      </c>
      <c r="R148" s="10" t="s">
        <v>2630</v>
      </c>
      <c r="S148" s="12" t="s">
        <v>1133</v>
      </c>
      <c r="T148" s="10" t="s">
        <v>1989</v>
      </c>
      <c r="U148" s="12" t="s">
        <v>2685</v>
      </c>
      <c r="V148" s="10" t="s">
        <v>2821</v>
      </c>
      <c r="W148" s="454" t="s">
        <v>2967</v>
      </c>
      <c r="X148" s="10" t="s">
        <v>3411</v>
      </c>
    </row>
    <row r="149" spans="1:24" ht="72">
      <c r="A149" s="12" t="s">
        <v>1778</v>
      </c>
      <c r="B149" s="10" t="s">
        <v>1778</v>
      </c>
      <c r="C149" s="12">
        <f>'Language 3'!C149</f>
        <v>0</v>
      </c>
      <c r="D149" s="480" t="s">
        <v>1778</v>
      </c>
      <c r="E149" s="12" t="s">
        <v>1168</v>
      </c>
      <c r="F149" s="480" t="s">
        <v>1778</v>
      </c>
      <c r="G149" s="12" t="s">
        <v>1688</v>
      </c>
      <c r="H149" s="10" t="s">
        <v>3027</v>
      </c>
      <c r="I149" s="463" t="s">
        <v>3205</v>
      </c>
      <c r="J149" s="480" t="s">
        <v>1778</v>
      </c>
      <c r="K149" s="12" t="s">
        <v>596</v>
      </c>
      <c r="L149" s="480" t="s">
        <v>1778</v>
      </c>
      <c r="M149" s="480" t="s">
        <v>1778</v>
      </c>
      <c r="N149" s="484" t="s">
        <v>426</v>
      </c>
      <c r="O149" s="12" t="s">
        <v>938</v>
      </c>
      <c r="P149" s="464" t="s">
        <v>2176</v>
      </c>
      <c r="Q149" s="461" t="s">
        <v>2500</v>
      </c>
      <c r="R149" s="10" t="s">
        <v>2631</v>
      </c>
      <c r="S149" s="12" t="s">
        <v>1134</v>
      </c>
      <c r="T149" s="10" t="s">
        <v>1990</v>
      </c>
      <c r="U149" s="12" t="s">
        <v>112</v>
      </c>
      <c r="V149" s="10" t="s">
        <v>2822</v>
      </c>
      <c r="W149" s="454" t="s">
        <v>2968</v>
      </c>
      <c r="X149" s="10" t="s">
        <v>3412</v>
      </c>
    </row>
    <row r="150" spans="1:24" ht="18">
      <c r="A150" s="470" t="s">
        <v>3058</v>
      </c>
      <c r="B150" s="249" t="s">
        <v>3058</v>
      </c>
      <c r="C150" s="12">
        <f>'Language 3'!C150</f>
        <v>0</v>
      </c>
      <c r="D150" s="480" t="s">
        <v>1777</v>
      </c>
      <c r="E150" s="12" t="s">
        <v>1169</v>
      </c>
      <c r="F150" s="480" t="s">
        <v>1777</v>
      </c>
      <c r="G150" s="12" t="s">
        <v>1689</v>
      </c>
      <c r="H150" s="10" t="s">
        <v>3025</v>
      </c>
      <c r="I150" s="463" t="s">
        <v>3206</v>
      </c>
      <c r="J150" s="480" t="s">
        <v>1777</v>
      </c>
      <c r="K150" s="12" t="s">
        <v>597</v>
      </c>
      <c r="L150" s="480" t="s">
        <v>1777</v>
      </c>
      <c r="M150" s="480" t="s">
        <v>1777</v>
      </c>
      <c r="N150" s="484" t="s">
        <v>427</v>
      </c>
      <c r="O150" s="12" t="s">
        <v>937</v>
      </c>
      <c r="P150" s="460" t="s">
        <v>2177</v>
      </c>
      <c r="Q150" s="461" t="s">
        <v>2501</v>
      </c>
      <c r="R150" s="10" t="s">
        <v>2501</v>
      </c>
      <c r="S150" s="12" t="s">
        <v>1485</v>
      </c>
      <c r="T150" s="10" t="s">
        <v>1995</v>
      </c>
      <c r="U150" s="12" t="s">
        <v>113</v>
      </c>
      <c r="V150" s="10" t="s">
        <v>2823</v>
      </c>
      <c r="W150" s="454" t="s">
        <v>2969</v>
      </c>
      <c r="X150" s="10" t="s">
        <v>3413</v>
      </c>
    </row>
    <row r="151" spans="1:24" ht="18">
      <c r="A151" s="12" t="s">
        <v>1173</v>
      </c>
      <c r="B151" s="10" t="s">
        <v>1173</v>
      </c>
      <c r="C151" s="12">
        <f>'Language 3'!C151</f>
        <v>0</v>
      </c>
      <c r="D151" s="10" t="s">
        <v>1174</v>
      </c>
      <c r="E151" s="12" t="s">
        <v>1175</v>
      </c>
      <c r="F151" s="10" t="s">
        <v>1176</v>
      </c>
      <c r="G151" s="12" t="s">
        <v>1177</v>
      </c>
      <c r="H151" s="10" t="s">
        <v>1178</v>
      </c>
      <c r="I151" s="454" t="s">
        <v>1179</v>
      </c>
      <c r="J151" s="10" t="s">
        <v>1180</v>
      </c>
      <c r="K151" s="12" t="s">
        <v>1181</v>
      </c>
      <c r="L151" s="10" t="s">
        <v>1182</v>
      </c>
      <c r="M151" s="455" t="s">
        <v>2271</v>
      </c>
      <c r="N151" s="10" t="s">
        <v>1183</v>
      </c>
      <c r="O151" s="12" t="s">
        <v>939</v>
      </c>
      <c r="P151" s="460" t="s">
        <v>496</v>
      </c>
      <c r="Q151" s="461" t="s">
        <v>1173</v>
      </c>
      <c r="R151" s="10" t="s">
        <v>1173</v>
      </c>
      <c r="S151" s="12" t="s">
        <v>1174</v>
      </c>
      <c r="T151" s="10" t="s">
        <v>463</v>
      </c>
      <c r="U151" s="12" t="s">
        <v>114</v>
      </c>
      <c r="V151" s="10" t="s">
        <v>2824</v>
      </c>
      <c r="W151" s="454" t="s">
        <v>2970</v>
      </c>
      <c r="X151" s="10" t="s">
        <v>3414</v>
      </c>
    </row>
    <row r="152" spans="1:24" ht="54">
      <c r="A152" s="12" t="s">
        <v>1172</v>
      </c>
      <c r="B152" s="10" t="s">
        <v>1172</v>
      </c>
      <c r="C152" s="12">
        <f>'Language 3'!C152</f>
        <v>0</v>
      </c>
      <c r="D152" s="480" t="s">
        <v>1172</v>
      </c>
      <c r="E152" s="12" t="s">
        <v>1184</v>
      </c>
      <c r="F152" s="480" t="s">
        <v>1172</v>
      </c>
      <c r="G152" s="12" t="s">
        <v>1690</v>
      </c>
      <c r="H152" s="10" t="s">
        <v>3028</v>
      </c>
      <c r="I152" s="463" t="s">
        <v>3207</v>
      </c>
      <c r="J152" s="480" t="s">
        <v>1172</v>
      </c>
      <c r="K152" s="12" t="s">
        <v>598</v>
      </c>
      <c r="L152" s="480" t="s">
        <v>1172</v>
      </c>
      <c r="M152" s="480" t="s">
        <v>1172</v>
      </c>
      <c r="N152" s="484" t="s">
        <v>428</v>
      </c>
      <c r="O152" s="12" t="s">
        <v>940</v>
      </c>
      <c r="P152" s="464" t="s">
        <v>2178</v>
      </c>
      <c r="Q152" s="461" t="s">
        <v>2502</v>
      </c>
      <c r="R152" s="10" t="s">
        <v>2632</v>
      </c>
      <c r="S152" s="12" t="s">
        <v>1135</v>
      </c>
      <c r="T152" s="10" t="s">
        <v>1991</v>
      </c>
      <c r="U152" s="12" t="s">
        <v>115</v>
      </c>
      <c r="V152" s="10" t="s">
        <v>2825</v>
      </c>
      <c r="W152" s="454" t="s">
        <v>2971</v>
      </c>
      <c r="X152" s="10" t="s">
        <v>3415</v>
      </c>
    </row>
    <row r="153" spans="1:24" ht="54">
      <c r="A153" s="12" t="s">
        <v>1171</v>
      </c>
      <c r="B153" s="10" t="s">
        <v>1171</v>
      </c>
      <c r="C153" s="12">
        <f>'Language 3'!C153</f>
        <v>0</v>
      </c>
      <c r="D153" s="480" t="s">
        <v>1171</v>
      </c>
      <c r="E153" s="12" t="s">
        <v>1185</v>
      </c>
      <c r="F153" s="480" t="s">
        <v>1171</v>
      </c>
      <c r="G153" s="12" t="s">
        <v>1691</v>
      </c>
      <c r="H153" s="10" t="s">
        <v>3029</v>
      </c>
      <c r="I153" s="463" t="s">
        <v>3208</v>
      </c>
      <c r="J153" s="480" t="s">
        <v>1171</v>
      </c>
      <c r="K153" s="12" t="s">
        <v>599</v>
      </c>
      <c r="L153" s="480" t="s">
        <v>1171</v>
      </c>
      <c r="M153" s="480" t="s">
        <v>1171</v>
      </c>
      <c r="N153" s="484" t="s">
        <v>429</v>
      </c>
      <c r="O153" s="12" t="s">
        <v>941</v>
      </c>
      <c r="P153" s="464" t="s">
        <v>2179</v>
      </c>
      <c r="Q153" s="461" t="s">
        <v>2503</v>
      </c>
      <c r="R153" s="10" t="s">
        <v>2633</v>
      </c>
      <c r="S153" s="12" t="s">
        <v>1138</v>
      </c>
      <c r="T153" s="10" t="s">
        <v>1992</v>
      </c>
      <c r="U153" s="12" t="s">
        <v>116</v>
      </c>
      <c r="V153" s="10" t="s">
        <v>2826</v>
      </c>
      <c r="W153" s="463" t="s">
        <v>2972</v>
      </c>
      <c r="X153" s="10" t="s">
        <v>3416</v>
      </c>
    </row>
    <row r="154" spans="1:24">
      <c r="A154" s="12" t="s">
        <v>991</v>
      </c>
      <c r="B154" s="10" t="s">
        <v>1186</v>
      </c>
      <c r="C154" s="12">
        <f>'Language 3'!C154</f>
        <v>0</v>
      </c>
      <c r="D154" s="10" t="s">
        <v>1187</v>
      </c>
      <c r="E154" s="12" t="s">
        <v>237</v>
      </c>
      <c r="F154" s="10" t="s">
        <v>1188</v>
      </c>
      <c r="G154" s="12" t="s">
        <v>1189</v>
      </c>
      <c r="H154" s="10" t="s">
        <v>1190</v>
      </c>
      <c r="I154" s="454" t="s">
        <v>1191</v>
      </c>
      <c r="J154" s="10" t="s">
        <v>1192</v>
      </c>
      <c r="K154" s="12" t="s">
        <v>2302</v>
      </c>
      <c r="L154" s="10" t="s">
        <v>1193</v>
      </c>
      <c r="M154" s="12" t="s">
        <v>1194</v>
      </c>
      <c r="N154" s="10" t="s">
        <v>1024</v>
      </c>
      <c r="O154" s="12" t="s">
        <v>942</v>
      </c>
      <c r="P154" s="460" t="s">
        <v>2167</v>
      </c>
      <c r="Q154" s="461" t="s">
        <v>2478</v>
      </c>
      <c r="R154" s="10" t="s">
        <v>2609</v>
      </c>
      <c r="S154" s="12" t="s">
        <v>2197</v>
      </c>
      <c r="T154" s="10" t="s">
        <v>1971</v>
      </c>
      <c r="U154" s="12" t="s">
        <v>117</v>
      </c>
      <c r="V154" s="10" t="s">
        <v>2827</v>
      </c>
      <c r="W154" s="454" t="s">
        <v>2973</v>
      </c>
      <c r="X154" s="10" t="s">
        <v>3417</v>
      </c>
    </row>
    <row r="155" spans="1:24" ht="54">
      <c r="A155" s="12" t="s">
        <v>1342</v>
      </c>
      <c r="B155" s="10" t="s">
        <v>1342</v>
      </c>
      <c r="C155" s="12">
        <f>'Language 3'!C155</f>
        <v>0</v>
      </c>
      <c r="D155" s="480" t="s">
        <v>1342</v>
      </c>
      <c r="E155" s="12" t="s">
        <v>1343</v>
      </c>
      <c r="F155" s="480" t="s">
        <v>1342</v>
      </c>
      <c r="G155" s="12" t="s">
        <v>1692</v>
      </c>
      <c r="H155" s="10" t="s">
        <v>3031</v>
      </c>
      <c r="I155" s="463" t="s">
        <v>3209</v>
      </c>
      <c r="J155" s="480" t="s">
        <v>1342</v>
      </c>
      <c r="K155" s="12" t="s">
        <v>600</v>
      </c>
      <c r="L155" s="480" t="s">
        <v>1342</v>
      </c>
      <c r="M155" s="480" t="s">
        <v>1342</v>
      </c>
      <c r="N155" s="484" t="s">
        <v>430</v>
      </c>
      <c r="O155" s="12" t="s">
        <v>944</v>
      </c>
      <c r="P155" s="464" t="s">
        <v>2180</v>
      </c>
      <c r="Q155" s="461" t="s">
        <v>2504</v>
      </c>
      <c r="R155" s="10" t="s">
        <v>2634</v>
      </c>
      <c r="S155" s="12" t="s">
        <v>1136</v>
      </c>
      <c r="T155" s="10" t="s">
        <v>1993</v>
      </c>
      <c r="U155" s="12" t="s">
        <v>118</v>
      </c>
      <c r="V155" s="10" t="s">
        <v>2828</v>
      </c>
      <c r="W155" s="454" t="s">
        <v>2974</v>
      </c>
      <c r="X155" s="10" t="s">
        <v>3418</v>
      </c>
    </row>
    <row r="156" spans="1:24" ht="54">
      <c r="A156" s="12" t="s">
        <v>1345</v>
      </c>
      <c r="B156" s="10" t="s">
        <v>1345</v>
      </c>
      <c r="C156" s="12">
        <f>'Language 3'!C156</f>
        <v>0</v>
      </c>
      <c r="D156" s="480" t="s">
        <v>1345</v>
      </c>
      <c r="E156" s="12" t="s">
        <v>1346</v>
      </c>
      <c r="F156" s="480" t="s">
        <v>1345</v>
      </c>
      <c r="G156" s="12" t="s">
        <v>1693</v>
      </c>
      <c r="H156" s="10" t="s">
        <v>3030</v>
      </c>
      <c r="I156" s="463" t="s">
        <v>3210</v>
      </c>
      <c r="J156" s="480" t="s">
        <v>1345</v>
      </c>
      <c r="K156" s="12" t="s">
        <v>601</v>
      </c>
      <c r="L156" s="480" t="s">
        <v>1345</v>
      </c>
      <c r="M156" s="480" t="s">
        <v>1345</v>
      </c>
      <c r="N156" s="484" t="s">
        <v>431</v>
      </c>
      <c r="O156" s="12" t="s">
        <v>943</v>
      </c>
      <c r="P156" s="464" t="s">
        <v>2181</v>
      </c>
      <c r="Q156" s="461" t="s">
        <v>2505</v>
      </c>
      <c r="R156" s="10" t="s">
        <v>2635</v>
      </c>
      <c r="S156" s="12" t="s">
        <v>1137</v>
      </c>
      <c r="T156" s="10" t="s">
        <v>1994</v>
      </c>
      <c r="U156" s="12" t="s">
        <v>119</v>
      </c>
      <c r="V156" s="10" t="s">
        <v>2829</v>
      </c>
      <c r="W156" s="454" t="s">
        <v>2975</v>
      </c>
      <c r="X156" s="10" t="s">
        <v>3419</v>
      </c>
    </row>
    <row r="157" spans="1:24" ht="25.5">
      <c r="A157" s="470" t="s">
        <v>772</v>
      </c>
      <c r="B157" s="249" t="s">
        <v>772</v>
      </c>
      <c r="C157" s="12">
        <f>'Language 3'!C157</f>
        <v>0</v>
      </c>
      <c r="D157" s="483" t="s">
        <v>772</v>
      </c>
      <c r="E157" s="12" t="s">
        <v>2978</v>
      </c>
      <c r="F157" s="483" t="s">
        <v>772</v>
      </c>
      <c r="G157" s="483" t="s">
        <v>772</v>
      </c>
      <c r="H157" s="249" t="s">
        <v>3032</v>
      </c>
      <c r="I157" s="463" t="s">
        <v>3188</v>
      </c>
      <c r="J157" s="483" t="s">
        <v>772</v>
      </c>
      <c r="K157" s="483" t="s">
        <v>772</v>
      </c>
      <c r="L157" s="483" t="s">
        <v>772</v>
      </c>
      <c r="M157" s="483" t="s">
        <v>772</v>
      </c>
      <c r="N157" s="483" t="s">
        <v>772</v>
      </c>
      <c r="O157" s="483" t="s">
        <v>772</v>
      </c>
      <c r="P157" s="483" t="s">
        <v>772</v>
      </c>
      <c r="Q157" s="483" t="s">
        <v>772</v>
      </c>
      <c r="R157" s="483" t="s">
        <v>772</v>
      </c>
      <c r="S157" s="483" t="s">
        <v>772</v>
      </c>
      <c r="T157" s="483" t="s">
        <v>772</v>
      </c>
      <c r="U157" s="483" t="s">
        <v>772</v>
      </c>
      <c r="V157" s="483" t="s">
        <v>772</v>
      </c>
      <c r="W157" s="463" t="s">
        <v>3001</v>
      </c>
      <c r="X157" s="249" t="s">
        <v>3420</v>
      </c>
    </row>
    <row r="158" spans="1:24">
      <c r="A158" s="470" t="s">
        <v>774</v>
      </c>
      <c r="B158" s="249" t="s">
        <v>774</v>
      </c>
      <c r="C158" s="12">
        <f>'Language 3'!C158</f>
        <v>0</v>
      </c>
      <c r="D158" s="483" t="s">
        <v>774</v>
      </c>
      <c r="E158" s="12" t="s">
        <v>2979</v>
      </c>
      <c r="F158" s="483" t="s">
        <v>774</v>
      </c>
      <c r="G158" s="483" t="s">
        <v>774</v>
      </c>
      <c r="H158" s="249" t="s">
        <v>3033</v>
      </c>
      <c r="I158" s="463" t="s">
        <v>3211</v>
      </c>
      <c r="J158" s="483" t="s">
        <v>774</v>
      </c>
      <c r="K158" s="483" t="s">
        <v>774</v>
      </c>
      <c r="L158" s="483" t="s">
        <v>774</v>
      </c>
      <c r="M158" s="483" t="s">
        <v>774</v>
      </c>
      <c r="N158" s="483" t="s">
        <v>774</v>
      </c>
      <c r="O158" s="483" t="s">
        <v>774</v>
      </c>
      <c r="P158" s="483" t="s">
        <v>774</v>
      </c>
      <c r="Q158" s="483" t="s">
        <v>774</v>
      </c>
      <c r="R158" s="483" t="s">
        <v>774</v>
      </c>
      <c r="S158" s="483" t="s">
        <v>774</v>
      </c>
      <c r="T158" s="483" t="s">
        <v>774</v>
      </c>
      <c r="U158" s="483" t="s">
        <v>774</v>
      </c>
      <c r="V158" s="483" t="s">
        <v>774</v>
      </c>
      <c r="W158" s="463" t="s">
        <v>3002</v>
      </c>
      <c r="X158" s="249" t="s">
        <v>3421</v>
      </c>
    </row>
    <row r="159" spans="1:24" ht="25.5">
      <c r="A159" s="470" t="s">
        <v>790</v>
      </c>
      <c r="B159" s="249" t="s">
        <v>790</v>
      </c>
      <c r="C159" s="12">
        <f>'Language 3'!C159</f>
        <v>0</v>
      </c>
      <c r="D159" s="483" t="s">
        <v>790</v>
      </c>
      <c r="E159" s="12" t="s">
        <v>2980</v>
      </c>
      <c r="F159" s="483" t="s">
        <v>790</v>
      </c>
      <c r="G159" s="483" t="s">
        <v>790</v>
      </c>
      <c r="H159" s="249" t="s">
        <v>3034</v>
      </c>
      <c r="I159" s="463" t="s">
        <v>3212</v>
      </c>
      <c r="J159" s="483" t="s">
        <v>790</v>
      </c>
      <c r="K159" s="483" t="s">
        <v>790</v>
      </c>
      <c r="L159" s="483" t="s">
        <v>790</v>
      </c>
      <c r="M159" s="483" t="s">
        <v>790</v>
      </c>
      <c r="N159" s="483" t="s">
        <v>790</v>
      </c>
      <c r="O159" s="483" t="s">
        <v>790</v>
      </c>
      <c r="P159" s="483" t="s">
        <v>790</v>
      </c>
      <c r="Q159" s="483" t="s">
        <v>790</v>
      </c>
      <c r="R159" s="483" t="s">
        <v>790</v>
      </c>
      <c r="S159" s="483" t="s">
        <v>790</v>
      </c>
      <c r="T159" s="483" t="s">
        <v>790</v>
      </c>
      <c r="U159" s="483" t="s">
        <v>790</v>
      </c>
      <c r="V159" s="483" t="s">
        <v>790</v>
      </c>
      <c r="W159" s="463" t="s">
        <v>3003</v>
      </c>
      <c r="X159" s="249" t="s">
        <v>3422</v>
      </c>
    </row>
    <row r="160" spans="1:24">
      <c r="A160" s="470" t="s">
        <v>767</v>
      </c>
      <c r="B160" s="249" t="s">
        <v>767</v>
      </c>
      <c r="C160" s="12">
        <f>'Language 3'!C160</f>
        <v>0</v>
      </c>
      <c r="D160" s="483" t="s">
        <v>767</v>
      </c>
      <c r="E160" s="12" t="s">
        <v>2981</v>
      </c>
      <c r="F160" s="483" t="s">
        <v>767</v>
      </c>
      <c r="G160" s="483" t="s">
        <v>767</v>
      </c>
      <c r="H160" s="249" t="s">
        <v>3035</v>
      </c>
      <c r="I160" s="463" t="s">
        <v>3213</v>
      </c>
      <c r="J160" s="483" t="s">
        <v>767</v>
      </c>
      <c r="K160" s="483" t="s">
        <v>767</v>
      </c>
      <c r="L160" s="483" t="s">
        <v>767</v>
      </c>
      <c r="M160" s="483" t="s">
        <v>767</v>
      </c>
      <c r="N160" s="483" t="s">
        <v>767</v>
      </c>
      <c r="O160" s="483" t="s">
        <v>767</v>
      </c>
      <c r="P160" s="483" t="s">
        <v>767</v>
      </c>
      <c r="Q160" s="483" t="s">
        <v>767</v>
      </c>
      <c r="R160" s="483" t="s">
        <v>767</v>
      </c>
      <c r="S160" s="483" t="s">
        <v>767</v>
      </c>
      <c r="T160" s="483" t="s">
        <v>767</v>
      </c>
      <c r="U160" s="483" t="s">
        <v>767</v>
      </c>
      <c r="V160" s="483" t="s">
        <v>767</v>
      </c>
      <c r="W160" s="463" t="s">
        <v>3004</v>
      </c>
      <c r="X160" s="249" t="s">
        <v>3423</v>
      </c>
    </row>
    <row r="161" spans="1:24">
      <c r="A161" s="470" t="s">
        <v>778</v>
      </c>
      <c r="B161" s="249" t="s">
        <v>778</v>
      </c>
      <c r="C161" s="12">
        <f>'Language 3'!C161</f>
        <v>0</v>
      </c>
      <c r="D161" s="483" t="s">
        <v>778</v>
      </c>
      <c r="E161" s="12" t="s">
        <v>2982</v>
      </c>
      <c r="F161" s="483" t="s">
        <v>778</v>
      </c>
      <c r="G161" s="483" t="s">
        <v>778</v>
      </c>
      <c r="H161" s="249" t="s">
        <v>3036</v>
      </c>
      <c r="I161" s="463" t="s">
        <v>3214</v>
      </c>
      <c r="J161" s="483" t="s">
        <v>778</v>
      </c>
      <c r="K161" s="483" t="s">
        <v>778</v>
      </c>
      <c r="L161" s="483" t="s">
        <v>778</v>
      </c>
      <c r="M161" s="483" t="s">
        <v>778</v>
      </c>
      <c r="N161" s="483" t="s">
        <v>778</v>
      </c>
      <c r="O161" s="483" t="s">
        <v>778</v>
      </c>
      <c r="P161" s="483" t="s">
        <v>778</v>
      </c>
      <c r="Q161" s="483" t="s">
        <v>778</v>
      </c>
      <c r="R161" s="483" t="s">
        <v>778</v>
      </c>
      <c r="S161" s="483" t="s">
        <v>778</v>
      </c>
      <c r="T161" s="483" t="s">
        <v>778</v>
      </c>
      <c r="U161" s="483" t="s">
        <v>778</v>
      </c>
      <c r="V161" s="483" t="s">
        <v>778</v>
      </c>
      <c r="W161" s="463" t="s">
        <v>3005</v>
      </c>
      <c r="X161" s="249" t="s">
        <v>3424</v>
      </c>
    </row>
    <row r="162" spans="1:24">
      <c r="A162" s="470" t="s">
        <v>773</v>
      </c>
      <c r="B162" s="249" t="s">
        <v>773</v>
      </c>
      <c r="C162" s="12">
        <f>'Language 3'!C162</f>
        <v>0</v>
      </c>
      <c r="D162" s="483" t="s">
        <v>773</v>
      </c>
      <c r="E162" s="12" t="s">
        <v>2983</v>
      </c>
      <c r="F162" s="483" t="s">
        <v>773</v>
      </c>
      <c r="G162" s="483" t="s">
        <v>773</v>
      </c>
      <c r="H162" s="249" t="s">
        <v>3037</v>
      </c>
      <c r="I162" s="463" t="s">
        <v>3215</v>
      </c>
      <c r="J162" s="483" t="s">
        <v>773</v>
      </c>
      <c r="K162" s="483" t="s">
        <v>773</v>
      </c>
      <c r="L162" s="483" t="s">
        <v>773</v>
      </c>
      <c r="M162" s="483" t="s">
        <v>773</v>
      </c>
      <c r="N162" s="483" t="s">
        <v>773</v>
      </c>
      <c r="O162" s="483" t="s">
        <v>773</v>
      </c>
      <c r="P162" s="483" t="s">
        <v>773</v>
      </c>
      <c r="Q162" s="483" t="s">
        <v>773</v>
      </c>
      <c r="R162" s="483" t="s">
        <v>773</v>
      </c>
      <c r="S162" s="483" t="s">
        <v>773</v>
      </c>
      <c r="T162" s="483" t="s">
        <v>773</v>
      </c>
      <c r="U162" s="483" t="s">
        <v>773</v>
      </c>
      <c r="V162" s="483" t="s">
        <v>773</v>
      </c>
      <c r="W162" s="463" t="s">
        <v>3006</v>
      </c>
      <c r="X162" s="249" t="s">
        <v>3425</v>
      </c>
    </row>
    <row r="163" spans="1:24">
      <c r="A163" s="470" t="s">
        <v>788</v>
      </c>
      <c r="B163" s="249" t="s">
        <v>788</v>
      </c>
      <c r="C163" s="12">
        <f>'Language 3'!C163</f>
        <v>0</v>
      </c>
      <c r="D163" s="483" t="s">
        <v>788</v>
      </c>
      <c r="E163" s="12" t="s">
        <v>2997</v>
      </c>
      <c r="F163" s="483" t="s">
        <v>788</v>
      </c>
      <c r="G163" s="483" t="s">
        <v>788</v>
      </c>
      <c r="H163" s="249" t="s">
        <v>3038</v>
      </c>
      <c r="I163" s="463" t="s">
        <v>1191</v>
      </c>
      <c r="J163" s="483" t="s">
        <v>788</v>
      </c>
      <c r="K163" s="483" t="s">
        <v>788</v>
      </c>
      <c r="L163" s="483" t="s">
        <v>788</v>
      </c>
      <c r="M163" s="483" t="s">
        <v>788</v>
      </c>
      <c r="N163" s="483" t="s">
        <v>788</v>
      </c>
      <c r="O163" s="483" t="s">
        <v>788</v>
      </c>
      <c r="P163" s="483" t="s">
        <v>788</v>
      </c>
      <c r="Q163" s="483" t="s">
        <v>788</v>
      </c>
      <c r="R163" s="483" t="s">
        <v>788</v>
      </c>
      <c r="S163" s="483" t="s">
        <v>788</v>
      </c>
      <c r="T163" s="483" t="s">
        <v>788</v>
      </c>
      <c r="U163" s="483" t="s">
        <v>788</v>
      </c>
      <c r="V163" s="483" t="s">
        <v>788</v>
      </c>
      <c r="W163" s="463" t="s">
        <v>3007</v>
      </c>
      <c r="X163" s="249" t="s">
        <v>3426</v>
      </c>
    </row>
    <row r="164" spans="1:24">
      <c r="A164" s="470" t="s">
        <v>769</v>
      </c>
      <c r="B164" s="249" t="s">
        <v>769</v>
      </c>
      <c r="C164" s="12">
        <f>'Language 3'!C164</f>
        <v>0</v>
      </c>
      <c r="D164" s="483" t="s">
        <v>769</v>
      </c>
      <c r="E164" s="12" t="s">
        <v>2984</v>
      </c>
      <c r="F164" s="483" t="s">
        <v>769</v>
      </c>
      <c r="G164" s="483" t="s">
        <v>769</v>
      </c>
      <c r="H164" s="249" t="s">
        <v>3039</v>
      </c>
      <c r="I164" s="463" t="s">
        <v>3216</v>
      </c>
      <c r="J164" s="483" t="s">
        <v>769</v>
      </c>
      <c r="K164" s="483" t="s">
        <v>769</v>
      </c>
      <c r="L164" s="483" t="s">
        <v>769</v>
      </c>
      <c r="M164" s="483" t="s">
        <v>769</v>
      </c>
      <c r="N164" s="483" t="s">
        <v>769</v>
      </c>
      <c r="O164" s="483" t="s">
        <v>769</v>
      </c>
      <c r="P164" s="483" t="s">
        <v>769</v>
      </c>
      <c r="Q164" s="483" t="s">
        <v>769</v>
      </c>
      <c r="R164" s="483" t="s">
        <v>769</v>
      </c>
      <c r="S164" s="483" t="s">
        <v>769</v>
      </c>
      <c r="T164" s="483" t="s">
        <v>769</v>
      </c>
      <c r="U164" s="483" t="s">
        <v>769</v>
      </c>
      <c r="V164" s="483" t="s">
        <v>769</v>
      </c>
      <c r="W164" s="463" t="s">
        <v>3008</v>
      </c>
      <c r="X164" s="249" t="s">
        <v>3427</v>
      </c>
    </row>
    <row r="165" spans="1:24">
      <c r="A165" s="470" t="s">
        <v>771</v>
      </c>
      <c r="B165" s="249" t="s">
        <v>771</v>
      </c>
      <c r="C165" s="12">
        <f>'Language 3'!C165</f>
        <v>0</v>
      </c>
      <c r="D165" s="483" t="s">
        <v>771</v>
      </c>
      <c r="E165" s="12" t="s">
        <v>2996</v>
      </c>
      <c r="F165" s="483" t="s">
        <v>771</v>
      </c>
      <c r="G165" s="483" t="s">
        <v>771</v>
      </c>
      <c r="H165" s="249" t="s">
        <v>3040</v>
      </c>
      <c r="I165" s="463" t="s">
        <v>3217</v>
      </c>
      <c r="J165" s="483" t="s">
        <v>771</v>
      </c>
      <c r="K165" s="483" t="s">
        <v>771</v>
      </c>
      <c r="L165" s="483" t="s">
        <v>771</v>
      </c>
      <c r="M165" s="483" t="s">
        <v>771</v>
      </c>
      <c r="N165" s="483" t="s">
        <v>771</v>
      </c>
      <c r="O165" s="483" t="s">
        <v>771</v>
      </c>
      <c r="P165" s="483" t="s">
        <v>771</v>
      </c>
      <c r="Q165" s="483" t="s">
        <v>771</v>
      </c>
      <c r="R165" s="483" t="s">
        <v>771</v>
      </c>
      <c r="S165" s="483" t="s">
        <v>771</v>
      </c>
      <c r="T165" s="483" t="s">
        <v>771</v>
      </c>
      <c r="U165" s="483" t="s">
        <v>771</v>
      </c>
      <c r="V165" s="483" t="s">
        <v>771</v>
      </c>
      <c r="W165" s="463" t="s">
        <v>3009</v>
      </c>
      <c r="X165" s="249" t="s">
        <v>3428</v>
      </c>
    </row>
    <row r="166" spans="1:24">
      <c r="A166" s="470" t="s">
        <v>768</v>
      </c>
      <c r="B166" s="249" t="s">
        <v>768</v>
      </c>
      <c r="C166" s="12">
        <f>'Language 3'!C166</f>
        <v>0</v>
      </c>
      <c r="D166" s="483" t="s">
        <v>768</v>
      </c>
      <c r="E166" s="12" t="s">
        <v>2985</v>
      </c>
      <c r="F166" s="483" t="s">
        <v>768</v>
      </c>
      <c r="G166" s="483" t="s">
        <v>768</v>
      </c>
      <c r="H166" s="249" t="s">
        <v>3041</v>
      </c>
      <c r="I166" s="463" t="s">
        <v>3218</v>
      </c>
      <c r="J166" s="483" t="s">
        <v>768</v>
      </c>
      <c r="K166" s="483" t="s">
        <v>768</v>
      </c>
      <c r="L166" s="483" t="s">
        <v>768</v>
      </c>
      <c r="M166" s="483" t="s">
        <v>768</v>
      </c>
      <c r="N166" s="483" t="s">
        <v>768</v>
      </c>
      <c r="O166" s="483" t="s">
        <v>768</v>
      </c>
      <c r="P166" s="483" t="s">
        <v>768</v>
      </c>
      <c r="Q166" s="483" t="s">
        <v>768</v>
      </c>
      <c r="R166" s="483" t="s">
        <v>768</v>
      </c>
      <c r="S166" s="483" t="s">
        <v>768</v>
      </c>
      <c r="T166" s="483" t="s">
        <v>768</v>
      </c>
      <c r="U166" s="483" t="s">
        <v>768</v>
      </c>
      <c r="V166" s="483" t="s">
        <v>768</v>
      </c>
      <c r="W166" s="463" t="s">
        <v>3010</v>
      </c>
      <c r="X166" s="249" t="s">
        <v>3429</v>
      </c>
    </row>
    <row r="167" spans="1:24">
      <c r="A167" s="470" t="s">
        <v>775</v>
      </c>
      <c r="B167" s="249" t="s">
        <v>775</v>
      </c>
      <c r="C167" s="12">
        <f>'Language 3'!C167</f>
        <v>0</v>
      </c>
      <c r="D167" s="483" t="s">
        <v>775</v>
      </c>
      <c r="E167" s="12" t="s">
        <v>2986</v>
      </c>
      <c r="F167" s="483" t="s">
        <v>775</v>
      </c>
      <c r="G167" s="483" t="s">
        <v>775</v>
      </c>
      <c r="H167" s="249" t="s">
        <v>3042</v>
      </c>
      <c r="I167" s="463" t="s">
        <v>3219</v>
      </c>
      <c r="J167" s="483" t="s">
        <v>775</v>
      </c>
      <c r="K167" s="483" t="s">
        <v>775</v>
      </c>
      <c r="L167" s="483" t="s">
        <v>775</v>
      </c>
      <c r="M167" s="483" t="s">
        <v>775</v>
      </c>
      <c r="N167" s="483" t="s">
        <v>775</v>
      </c>
      <c r="O167" s="483" t="s">
        <v>775</v>
      </c>
      <c r="P167" s="483" t="s">
        <v>775</v>
      </c>
      <c r="Q167" s="483" t="s">
        <v>775</v>
      </c>
      <c r="R167" s="483" t="s">
        <v>775</v>
      </c>
      <c r="S167" s="483" t="s">
        <v>775</v>
      </c>
      <c r="T167" s="483" t="s">
        <v>775</v>
      </c>
      <c r="U167" s="483" t="s">
        <v>775</v>
      </c>
      <c r="V167" s="483" t="s">
        <v>775</v>
      </c>
      <c r="W167" s="463" t="s">
        <v>3011</v>
      </c>
      <c r="X167" s="249" t="s">
        <v>3430</v>
      </c>
    </row>
    <row r="168" spans="1:24">
      <c r="A168" s="470" t="s">
        <v>777</v>
      </c>
      <c r="B168" s="249" t="s">
        <v>777</v>
      </c>
      <c r="C168" s="12">
        <f>'Language 3'!C168</f>
        <v>0</v>
      </c>
      <c r="D168" s="483" t="s">
        <v>777</v>
      </c>
      <c r="E168" s="12" t="s">
        <v>2987</v>
      </c>
      <c r="F168" s="483" t="s">
        <v>777</v>
      </c>
      <c r="G168" s="483" t="s">
        <v>777</v>
      </c>
      <c r="H168" s="249" t="s">
        <v>3041</v>
      </c>
      <c r="I168" s="463" t="s">
        <v>3220</v>
      </c>
      <c r="J168" s="483" t="s">
        <v>777</v>
      </c>
      <c r="K168" s="483" t="s">
        <v>777</v>
      </c>
      <c r="L168" s="483" t="s">
        <v>777</v>
      </c>
      <c r="M168" s="483" t="s">
        <v>777</v>
      </c>
      <c r="N168" s="483" t="s">
        <v>777</v>
      </c>
      <c r="O168" s="483" t="s">
        <v>777</v>
      </c>
      <c r="P168" s="483" t="s">
        <v>777</v>
      </c>
      <c r="Q168" s="483" t="s">
        <v>777</v>
      </c>
      <c r="R168" s="483" t="s">
        <v>777</v>
      </c>
      <c r="S168" s="483" t="s">
        <v>777</v>
      </c>
      <c r="T168" s="483" t="s">
        <v>777</v>
      </c>
      <c r="U168" s="483" t="s">
        <v>777</v>
      </c>
      <c r="V168" s="483" t="s">
        <v>777</v>
      </c>
      <c r="W168" s="463" t="s">
        <v>3012</v>
      </c>
      <c r="X168" s="249" t="s">
        <v>3431</v>
      </c>
    </row>
    <row r="169" spans="1:24">
      <c r="A169" s="470" t="s">
        <v>770</v>
      </c>
      <c r="B169" s="249" t="s">
        <v>770</v>
      </c>
      <c r="C169" s="12">
        <f>'Language 3'!C169</f>
        <v>0</v>
      </c>
      <c r="D169" s="483" t="s">
        <v>770</v>
      </c>
      <c r="E169" s="12" t="s">
        <v>770</v>
      </c>
      <c r="F169" s="483" t="s">
        <v>770</v>
      </c>
      <c r="G169" s="483" t="s">
        <v>770</v>
      </c>
      <c r="H169" s="249" t="s">
        <v>770</v>
      </c>
      <c r="I169" s="463" t="s">
        <v>770</v>
      </c>
      <c r="J169" s="483" t="s">
        <v>770</v>
      </c>
      <c r="K169" s="483" t="s">
        <v>770</v>
      </c>
      <c r="L169" s="483" t="s">
        <v>770</v>
      </c>
      <c r="M169" s="483" t="s">
        <v>770</v>
      </c>
      <c r="N169" s="483" t="s">
        <v>770</v>
      </c>
      <c r="O169" s="483" t="s">
        <v>770</v>
      </c>
      <c r="P169" s="483" t="s">
        <v>770</v>
      </c>
      <c r="Q169" s="483" t="s">
        <v>770</v>
      </c>
      <c r="R169" s="483" t="s">
        <v>770</v>
      </c>
      <c r="S169" s="483" t="s">
        <v>770</v>
      </c>
      <c r="T169" s="483" t="s">
        <v>770</v>
      </c>
      <c r="U169" s="483" t="s">
        <v>770</v>
      </c>
      <c r="V169" s="483" t="s">
        <v>770</v>
      </c>
      <c r="W169" s="463" t="s">
        <v>770</v>
      </c>
      <c r="X169" s="249" t="s">
        <v>3414</v>
      </c>
    </row>
    <row r="170" spans="1:24">
      <c r="A170" s="470" t="s">
        <v>780</v>
      </c>
      <c r="B170" s="249" t="s">
        <v>780</v>
      </c>
      <c r="C170" s="12">
        <f>'Language 3'!C170</f>
        <v>0</v>
      </c>
      <c r="D170" s="483" t="s">
        <v>780</v>
      </c>
      <c r="E170" s="12" t="s">
        <v>780</v>
      </c>
      <c r="F170" s="483" t="s">
        <v>780</v>
      </c>
      <c r="G170" s="483" t="s">
        <v>780</v>
      </c>
      <c r="H170" s="249" t="s">
        <v>780</v>
      </c>
      <c r="I170" s="463" t="s">
        <v>780</v>
      </c>
      <c r="J170" s="483" t="s">
        <v>780</v>
      </c>
      <c r="K170" s="483" t="s">
        <v>780</v>
      </c>
      <c r="L170" s="483" t="s">
        <v>780</v>
      </c>
      <c r="M170" s="483" t="s">
        <v>780</v>
      </c>
      <c r="N170" s="483" t="s">
        <v>780</v>
      </c>
      <c r="O170" s="483" t="s">
        <v>780</v>
      </c>
      <c r="P170" s="483" t="s">
        <v>780</v>
      </c>
      <c r="Q170" s="483" t="s">
        <v>780</v>
      </c>
      <c r="R170" s="483" t="s">
        <v>780</v>
      </c>
      <c r="S170" s="483" t="s">
        <v>780</v>
      </c>
      <c r="T170" s="483" t="s">
        <v>780</v>
      </c>
      <c r="U170" s="483" t="s">
        <v>780</v>
      </c>
      <c r="V170" s="483" t="s">
        <v>780</v>
      </c>
      <c r="W170" s="463" t="s">
        <v>780</v>
      </c>
      <c r="X170" s="249" t="s">
        <v>780</v>
      </c>
    </row>
    <row r="171" spans="1:24">
      <c r="A171" s="470" t="s">
        <v>789</v>
      </c>
      <c r="B171" s="249" t="s">
        <v>789</v>
      </c>
      <c r="C171" s="12">
        <f>'Language 3'!C171</f>
        <v>0</v>
      </c>
      <c r="D171" s="483" t="s">
        <v>789</v>
      </c>
      <c r="E171" s="12" t="s">
        <v>2997</v>
      </c>
      <c r="F171" s="483" t="s">
        <v>789</v>
      </c>
      <c r="G171" s="483" t="s">
        <v>789</v>
      </c>
      <c r="H171" s="249" t="s">
        <v>3043</v>
      </c>
      <c r="I171" s="463" t="s">
        <v>3221</v>
      </c>
      <c r="J171" s="483" t="s">
        <v>789</v>
      </c>
      <c r="K171" s="483" t="s">
        <v>789</v>
      </c>
      <c r="L171" s="483" t="s">
        <v>789</v>
      </c>
      <c r="M171" s="483" t="s">
        <v>789</v>
      </c>
      <c r="N171" s="483" t="s">
        <v>789</v>
      </c>
      <c r="O171" s="483" t="s">
        <v>789</v>
      </c>
      <c r="P171" s="483" t="s">
        <v>789</v>
      </c>
      <c r="Q171" s="483" t="s">
        <v>789</v>
      </c>
      <c r="R171" s="483" t="s">
        <v>789</v>
      </c>
      <c r="S171" s="483" t="s">
        <v>789</v>
      </c>
      <c r="T171" s="483" t="s">
        <v>789</v>
      </c>
      <c r="U171" s="483" t="s">
        <v>789</v>
      </c>
      <c r="V171" s="483" t="s">
        <v>789</v>
      </c>
      <c r="W171" s="463" t="s">
        <v>3013</v>
      </c>
      <c r="X171" s="249" t="s">
        <v>3432</v>
      </c>
    </row>
    <row r="172" spans="1:24" ht="25.5">
      <c r="A172" s="470" t="s">
        <v>2977</v>
      </c>
      <c r="B172" s="249" t="s">
        <v>2977</v>
      </c>
      <c r="C172" s="12">
        <f>'Language 3'!C172</f>
        <v>0</v>
      </c>
      <c r="D172" s="483" t="s">
        <v>2977</v>
      </c>
      <c r="E172" s="12" t="s">
        <v>2988</v>
      </c>
      <c r="F172" s="483" t="s">
        <v>2977</v>
      </c>
      <c r="G172" s="483" t="s">
        <v>2977</v>
      </c>
      <c r="H172" s="249" t="s">
        <v>3044</v>
      </c>
      <c r="I172" s="463" t="s">
        <v>3222</v>
      </c>
      <c r="J172" s="483" t="s">
        <v>2977</v>
      </c>
      <c r="K172" s="483" t="s">
        <v>2977</v>
      </c>
      <c r="L172" s="483" t="s">
        <v>2977</v>
      </c>
      <c r="M172" s="483" t="s">
        <v>2977</v>
      </c>
      <c r="N172" s="483" t="s">
        <v>2977</v>
      </c>
      <c r="O172" s="483" t="s">
        <v>2977</v>
      </c>
      <c r="P172" s="483" t="s">
        <v>2977</v>
      </c>
      <c r="Q172" s="483" t="s">
        <v>2977</v>
      </c>
      <c r="R172" s="483" t="s">
        <v>2977</v>
      </c>
      <c r="S172" s="483" t="s">
        <v>2977</v>
      </c>
      <c r="T172" s="483" t="s">
        <v>2977</v>
      </c>
      <c r="U172" s="483" t="s">
        <v>2977</v>
      </c>
      <c r="V172" s="483" t="s">
        <v>2977</v>
      </c>
      <c r="W172" s="463" t="s">
        <v>3014</v>
      </c>
      <c r="X172" s="249" t="s">
        <v>3433</v>
      </c>
    </row>
    <row r="173" spans="1:24" ht="25.5">
      <c r="A173" s="470" t="s">
        <v>781</v>
      </c>
      <c r="B173" s="249" t="s">
        <v>781</v>
      </c>
      <c r="C173" s="12">
        <f>'Language 3'!C173</f>
        <v>0</v>
      </c>
      <c r="D173" s="483" t="s">
        <v>781</v>
      </c>
      <c r="E173" s="12" t="s">
        <v>2998</v>
      </c>
      <c r="F173" s="483" t="s">
        <v>781</v>
      </c>
      <c r="G173" s="483" t="s">
        <v>781</v>
      </c>
      <c r="H173" s="249" t="s">
        <v>3044</v>
      </c>
      <c r="I173" s="463" t="s">
        <v>3223</v>
      </c>
      <c r="J173" s="483" t="s">
        <v>781</v>
      </c>
      <c r="K173" s="483" t="s">
        <v>781</v>
      </c>
      <c r="L173" s="483" t="s">
        <v>781</v>
      </c>
      <c r="M173" s="483" t="s">
        <v>781</v>
      </c>
      <c r="N173" s="483" t="s">
        <v>781</v>
      </c>
      <c r="O173" s="483" t="s">
        <v>781</v>
      </c>
      <c r="P173" s="483" t="s">
        <v>781</v>
      </c>
      <c r="Q173" s="483" t="s">
        <v>781</v>
      </c>
      <c r="R173" s="483" t="s">
        <v>781</v>
      </c>
      <c r="S173" s="483" t="s">
        <v>781</v>
      </c>
      <c r="T173" s="483" t="s">
        <v>781</v>
      </c>
      <c r="U173" s="483" t="s">
        <v>781</v>
      </c>
      <c r="V173" s="483" t="s">
        <v>781</v>
      </c>
      <c r="W173" s="463" t="s">
        <v>3015</v>
      </c>
      <c r="X173" s="249" t="s">
        <v>3434</v>
      </c>
    </row>
    <row r="174" spans="1:24" ht="25.5">
      <c r="A174" s="470" t="s">
        <v>779</v>
      </c>
      <c r="B174" s="249" t="s">
        <v>779</v>
      </c>
      <c r="C174" s="12">
        <f>'Language 3'!C174</f>
        <v>0</v>
      </c>
      <c r="D174" s="483" t="s">
        <v>779</v>
      </c>
      <c r="E174" s="12" t="s">
        <v>2990</v>
      </c>
      <c r="F174" s="483" t="s">
        <v>779</v>
      </c>
      <c r="G174" s="483" t="s">
        <v>779</v>
      </c>
      <c r="H174" s="249" t="s">
        <v>1297</v>
      </c>
      <c r="I174" s="463" t="s">
        <v>3184</v>
      </c>
      <c r="J174" s="483" t="s">
        <v>779</v>
      </c>
      <c r="K174" s="483" t="s">
        <v>779</v>
      </c>
      <c r="L174" s="483" t="s">
        <v>779</v>
      </c>
      <c r="M174" s="483" t="s">
        <v>779</v>
      </c>
      <c r="N174" s="483" t="s">
        <v>779</v>
      </c>
      <c r="O174" s="483" t="s">
        <v>779</v>
      </c>
      <c r="P174" s="483" t="s">
        <v>779</v>
      </c>
      <c r="Q174" s="483" t="s">
        <v>779</v>
      </c>
      <c r="R174" s="483" t="s">
        <v>779</v>
      </c>
      <c r="S174" s="483" t="s">
        <v>779</v>
      </c>
      <c r="T174" s="483" t="s">
        <v>779</v>
      </c>
      <c r="U174" s="483" t="s">
        <v>779</v>
      </c>
      <c r="V174" s="483" t="s">
        <v>779</v>
      </c>
      <c r="W174" s="463" t="s">
        <v>3016</v>
      </c>
      <c r="X174" s="249" t="s">
        <v>3435</v>
      </c>
    </row>
    <row r="175" spans="1:24">
      <c r="A175" s="470" t="s">
        <v>782</v>
      </c>
      <c r="B175" s="249" t="s">
        <v>782</v>
      </c>
      <c r="C175" s="12">
        <f>'Language 3'!C175</f>
        <v>0</v>
      </c>
      <c r="D175" s="483" t="s">
        <v>782</v>
      </c>
      <c r="E175" s="12" t="s">
        <v>2991</v>
      </c>
      <c r="F175" s="483" t="s">
        <v>782</v>
      </c>
      <c r="G175" s="483" t="s">
        <v>782</v>
      </c>
      <c r="H175" s="249" t="s">
        <v>3045</v>
      </c>
      <c r="I175" s="463" t="s">
        <v>3224</v>
      </c>
      <c r="J175" s="483" t="s">
        <v>782</v>
      </c>
      <c r="K175" s="483" t="s">
        <v>782</v>
      </c>
      <c r="L175" s="483" t="s">
        <v>782</v>
      </c>
      <c r="M175" s="483" t="s">
        <v>782</v>
      </c>
      <c r="N175" s="483" t="s">
        <v>782</v>
      </c>
      <c r="O175" s="483" t="s">
        <v>782</v>
      </c>
      <c r="P175" s="483" t="s">
        <v>782</v>
      </c>
      <c r="Q175" s="483" t="s">
        <v>782</v>
      </c>
      <c r="R175" s="483" t="s">
        <v>782</v>
      </c>
      <c r="S175" s="483" t="s">
        <v>782</v>
      </c>
      <c r="T175" s="483" t="s">
        <v>782</v>
      </c>
      <c r="U175" s="483" t="s">
        <v>782</v>
      </c>
      <c r="V175" s="483" t="s">
        <v>782</v>
      </c>
      <c r="W175" s="463" t="s">
        <v>3017</v>
      </c>
      <c r="X175" s="249" t="s">
        <v>3436</v>
      </c>
    </row>
    <row r="176" spans="1:24" ht="25.5">
      <c r="A176" s="470" t="s">
        <v>2992</v>
      </c>
      <c r="B176" s="249" t="s">
        <v>2992</v>
      </c>
      <c r="C176" s="12">
        <f>'Language 3'!C176</f>
        <v>0</v>
      </c>
      <c r="D176" s="483" t="s">
        <v>2992</v>
      </c>
      <c r="E176" s="12" t="s">
        <v>2993</v>
      </c>
      <c r="F176" s="483" t="s">
        <v>2992</v>
      </c>
      <c r="G176" s="483" t="s">
        <v>2992</v>
      </c>
      <c r="H176" s="249" t="s">
        <v>3046</v>
      </c>
      <c r="I176" s="463" t="s">
        <v>3225</v>
      </c>
      <c r="J176" s="483" t="s">
        <v>2992</v>
      </c>
      <c r="K176" s="483" t="s">
        <v>2992</v>
      </c>
      <c r="L176" s="483" t="s">
        <v>2992</v>
      </c>
      <c r="M176" s="483" t="s">
        <v>2992</v>
      </c>
      <c r="N176" s="483" t="s">
        <v>2992</v>
      </c>
      <c r="O176" s="483" t="s">
        <v>2992</v>
      </c>
      <c r="P176" s="483" t="s">
        <v>2992</v>
      </c>
      <c r="Q176" s="483" t="s">
        <v>2992</v>
      </c>
      <c r="R176" s="483" t="s">
        <v>2992</v>
      </c>
      <c r="S176" s="483" t="s">
        <v>2992</v>
      </c>
      <c r="T176" s="483" t="s">
        <v>2992</v>
      </c>
      <c r="U176" s="483" t="s">
        <v>2992</v>
      </c>
      <c r="V176" s="483" t="s">
        <v>2992</v>
      </c>
      <c r="W176" s="463" t="s">
        <v>3018</v>
      </c>
      <c r="X176" s="249" t="s">
        <v>3437</v>
      </c>
    </row>
    <row r="177" spans="1:24" ht="38.25">
      <c r="A177" s="470" t="s">
        <v>783</v>
      </c>
      <c r="B177" s="249" t="s">
        <v>783</v>
      </c>
      <c r="C177" s="12">
        <f>'Language 3'!C177</f>
        <v>0</v>
      </c>
      <c r="D177" s="483" t="s">
        <v>783</v>
      </c>
      <c r="E177" s="12" t="s">
        <v>2999</v>
      </c>
      <c r="F177" s="483" t="s">
        <v>783</v>
      </c>
      <c r="G177" s="483" t="s">
        <v>783</v>
      </c>
      <c r="H177" s="249" t="s">
        <v>3047</v>
      </c>
      <c r="I177" s="463" t="s">
        <v>3226</v>
      </c>
      <c r="J177" s="483" t="s">
        <v>783</v>
      </c>
      <c r="K177" s="483" t="s">
        <v>783</v>
      </c>
      <c r="L177" s="483" t="s">
        <v>783</v>
      </c>
      <c r="M177" s="483" t="s">
        <v>783</v>
      </c>
      <c r="N177" s="483" t="s">
        <v>783</v>
      </c>
      <c r="O177" s="483" t="s">
        <v>783</v>
      </c>
      <c r="P177" s="483" t="s">
        <v>783</v>
      </c>
      <c r="Q177" s="483" t="s">
        <v>783</v>
      </c>
      <c r="R177" s="483" t="s">
        <v>783</v>
      </c>
      <c r="S177" s="483" t="s">
        <v>783</v>
      </c>
      <c r="T177" s="483" t="s">
        <v>783</v>
      </c>
      <c r="U177" s="483" t="s">
        <v>783</v>
      </c>
      <c r="V177" s="483" t="s">
        <v>783</v>
      </c>
      <c r="W177" s="463" t="s">
        <v>3019</v>
      </c>
      <c r="X177" s="249" t="s">
        <v>3438</v>
      </c>
    </row>
    <row r="178" spans="1:24" ht="25.5">
      <c r="A178" s="470" t="s">
        <v>785</v>
      </c>
      <c r="B178" s="249" t="s">
        <v>785</v>
      </c>
      <c r="C178" s="12">
        <f>'Language 3'!C178</f>
        <v>0</v>
      </c>
      <c r="D178" s="483" t="s">
        <v>785</v>
      </c>
      <c r="E178" s="12" t="s">
        <v>3000</v>
      </c>
      <c r="F178" s="483" t="s">
        <v>785</v>
      </c>
      <c r="G178" s="483" t="s">
        <v>785</v>
      </c>
      <c r="H178" s="249" t="s">
        <v>3048</v>
      </c>
      <c r="I178" s="463" t="s">
        <v>3227</v>
      </c>
      <c r="J178" s="483" t="s">
        <v>785</v>
      </c>
      <c r="K178" s="483" t="s">
        <v>785</v>
      </c>
      <c r="L178" s="483" t="s">
        <v>785</v>
      </c>
      <c r="M178" s="483" t="s">
        <v>785</v>
      </c>
      <c r="N178" s="483" t="s">
        <v>785</v>
      </c>
      <c r="O178" s="483" t="s">
        <v>785</v>
      </c>
      <c r="P178" s="483" t="s">
        <v>785</v>
      </c>
      <c r="Q178" s="483" t="s">
        <v>785</v>
      </c>
      <c r="R178" s="483" t="s">
        <v>785</v>
      </c>
      <c r="S178" s="483" t="s">
        <v>785</v>
      </c>
      <c r="T178" s="483" t="s">
        <v>785</v>
      </c>
      <c r="U178" s="483" t="s">
        <v>785</v>
      </c>
      <c r="V178" s="483" t="s">
        <v>785</v>
      </c>
      <c r="W178" s="463" t="s">
        <v>3020</v>
      </c>
      <c r="X178" s="249" t="s">
        <v>3439</v>
      </c>
    </row>
    <row r="179" spans="1:24" ht="38.25">
      <c r="A179" s="470" t="s">
        <v>784</v>
      </c>
      <c r="B179" s="249" t="s">
        <v>784</v>
      </c>
      <c r="C179" s="12">
        <f>'Language 3'!C179</f>
        <v>0</v>
      </c>
      <c r="D179" s="483" t="s">
        <v>784</v>
      </c>
      <c r="E179" s="12" t="s">
        <v>2994</v>
      </c>
      <c r="F179" s="483" t="s">
        <v>784</v>
      </c>
      <c r="G179" s="483" t="s">
        <v>784</v>
      </c>
      <c r="H179" s="249" t="s">
        <v>3049</v>
      </c>
      <c r="I179" s="463" t="s">
        <v>3228</v>
      </c>
      <c r="J179" s="483" t="s">
        <v>784</v>
      </c>
      <c r="K179" s="483" t="s">
        <v>784</v>
      </c>
      <c r="L179" s="483" t="s">
        <v>784</v>
      </c>
      <c r="M179" s="483" t="s">
        <v>784</v>
      </c>
      <c r="N179" s="483" t="s">
        <v>784</v>
      </c>
      <c r="O179" s="483" t="s">
        <v>784</v>
      </c>
      <c r="P179" s="483" t="s">
        <v>784</v>
      </c>
      <c r="Q179" s="483" t="s">
        <v>784</v>
      </c>
      <c r="R179" s="483" t="s">
        <v>784</v>
      </c>
      <c r="S179" s="483" t="s">
        <v>784</v>
      </c>
      <c r="T179" s="483" t="s">
        <v>784</v>
      </c>
      <c r="U179" s="483" t="s">
        <v>784</v>
      </c>
      <c r="V179" s="483" t="s">
        <v>784</v>
      </c>
      <c r="W179" s="463" t="s">
        <v>3021</v>
      </c>
      <c r="X179" s="249" t="s">
        <v>3440</v>
      </c>
    </row>
    <row r="180" spans="1:24" ht="25.5">
      <c r="A180" s="470" t="s">
        <v>786</v>
      </c>
      <c r="B180" s="249" t="s">
        <v>786</v>
      </c>
      <c r="C180" s="12">
        <f>'Language 3'!C180</f>
        <v>0</v>
      </c>
      <c r="D180" s="483" t="s">
        <v>786</v>
      </c>
      <c r="E180" s="12" t="s">
        <v>2995</v>
      </c>
      <c r="F180" s="483" t="s">
        <v>786</v>
      </c>
      <c r="G180" s="483" t="s">
        <v>786</v>
      </c>
      <c r="H180" s="249" t="s">
        <v>3050</v>
      </c>
      <c r="I180" s="463" t="s">
        <v>3229</v>
      </c>
      <c r="J180" s="483" t="s">
        <v>786</v>
      </c>
      <c r="K180" s="483" t="s">
        <v>786</v>
      </c>
      <c r="L180" s="483" t="s">
        <v>786</v>
      </c>
      <c r="M180" s="483" t="s">
        <v>786</v>
      </c>
      <c r="N180" s="483" t="s">
        <v>786</v>
      </c>
      <c r="O180" s="483" t="s">
        <v>786</v>
      </c>
      <c r="P180" s="483" t="s">
        <v>786</v>
      </c>
      <c r="Q180" s="483" t="s">
        <v>786</v>
      </c>
      <c r="R180" s="483" t="s">
        <v>786</v>
      </c>
      <c r="S180" s="483" t="s">
        <v>786</v>
      </c>
      <c r="T180" s="483" t="s">
        <v>786</v>
      </c>
      <c r="U180" s="483" t="s">
        <v>786</v>
      </c>
      <c r="V180" s="483" t="s">
        <v>786</v>
      </c>
      <c r="W180" s="463" t="s">
        <v>3022</v>
      </c>
      <c r="X180" s="249" t="s">
        <v>3441</v>
      </c>
    </row>
    <row r="181" spans="1:24" ht="25.5">
      <c r="A181" s="470" t="s">
        <v>1259</v>
      </c>
      <c r="B181" s="249" t="s">
        <v>1259</v>
      </c>
      <c r="C181" s="12">
        <f>'Language 3'!C181</f>
        <v>0</v>
      </c>
      <c r="D181" s="483" t="s">
        <v>1259</v>
      </c>
      <c r="E181" s="12" t="s">
        <v>1259</v>
      </c>
      <c r="F181" s="483" t="s">
        <v>1259</v>
      </c>
      <c r="G181" s="483" t="s">
        <v>1259</v>
      </c>
      <c r="H181" s="249" t="s">
        <v>1259</v>
      </c>
      <c r="I181" s="463" t="s">
        <v>3230</v>
      </c>
      <c r="J181" s="483" t="s">
        <v>1259</v>
      </c>
      <c r="K181" s="483" t="s">
        <v>1259</v>
      </c>
      <c r="L181" s="483" t="s">
        <v>1259</v>
      </c>
      <c r="M181" s="483" t="s">
        <v>1259</v>
      </c>
      <c r="N181" s="483" t="s">
        <v>1259</v>
      </c>
      <c r="O181" s="483" t="s">
        <v>1259</v>
      </c>
      <c r="P181" s="483" t="s">
        <v>1259</v>
      </c>
      <c r="Q181" s="483" t="s">
        <v>1259</v>
      </c>
      <c r="R181" s="483" t="s">
        <v>1259</v>
      </c>
      <c r="S181" s="483" t="s">
        <v>1259</v>
      </c>
      <c r="T181" s="483" t="s">
        <v>1259</v>
      </c>
      <c r="U181" s="483" t="s">
        <v>1259</v>
      </c>
      <c r="V181" s="483" t="s">
        <v>1259</v>
      </c>
      <c r="W181" s="463" t="s">
        <v>3023</v>
      </c>
      <c r="X181" s="249" t="s">
        <v>1259</v>
      </c>
    </row>
    <row r="182" spans="1:24" ht="25.5">
      <c r="A182" s="470" t="s">
        <v>781</v>
      </c>
      <c r="B182" s="249" t="s">
        <v>781</v>
      </c>
      <c r="C182" s="12">
        <f>'Language 3'!C182</f>
        <v>0</v>
      </c>
      <c r="D182" s="483" t="s">
        <v>781</v>
      </c>
      <c r="E182" s="12" t="s">
        <v>2989</v>
      </c>
      <c r="F182" s="483" t="s">
        <v>781</v>
      </c>
      <c r="G182" s="483" t="s">
        <v>781</v>
      </c>
      <c r="H182" s="249" t="s">
        <v>3051</v>
      </c>
      <c r="I182" s="463" t="s">
        <v>3223</v>
      </c>
      <c r="J182" s="483" t="s">
        <v>781</v>
      </c>
      <c r="K182" s="483" t="s">
        <v>781</v>
      </c>
      <c r="L182" s="483" t="s">
        <v>781</v>
      </c>
      <c r="M182" s="483" t="s">
        <v>781</v>
      </c>
      <c r="N182" s="483" t="s">
        <v>781</v>
      </c>
      <c r="O182" s="483" t="s">
        <v>781</v>
      </c>
      <c r="P182" s="483" t="s">
        <v>781</v>
      </c>
      <c r="Q182" s="483" t="s">
        <v>781</v>
      </c>
      <c r="R182" s="483" t="s">
        <v>781</v>
      </c>
      <c r="S182" s="483" t="s">
        <v>781</v>
      </c>
      <c r="T182" s="483" t="s">
        <v>781</v>
      </c>
      <c r="U182" s="483" t="s">
        <v>781</v>
      </c>
      <c r="V182" s="483" t="s">
        <v>781</v>
      </c>
      <c r="W182" s="463" t="s">
        <v>3015</v>
      </c>
      <c r="X182" s="249" t="s">
        <v>3434</v>
      </c>
    </row>
    <row r="183" spans="1:24">
      <c r="A183" s="470" t="s">
        <v>3059</v>
      </c>
      <c r="B183" s="10" t="s">
        <v>3059</v>
      </c>
      <c r="C183" s="12">
        <f>'Language 3'!C183</f>
        <v>0</v>
      </c>
      <c r="D183" s="10" t="s">
        <v>3059</v>
      </c>
      <c r="E183" s="470" t="s">
        <v>3059</v>
      </c>
      <c r="F183" s="10" t="s">
        <v>1780</v>
      </c>
      <c r="G183" s="470" t="s">
        <v>3059</v>
      </c>
      <c r="H183" s="10" t="s">
        <v>3059</v>
      </c>
      <c r="I183" s="463" t="s">
        <v>3059</v>
      </c>
      <c r="J183" s="249" t="s">
        <v>3059</v>
      </c>
      <c r="K183" s="470" t="s">
        <v>3059</v>
      </c>
      <c r="L183" s="249" t="s">
        <v>3059</v>
      </c>
      <c r="M183" s="12" t="s">
        <v>2271</v>
      </c>
      <c r="N183" s="10" t="s">
        <v>1781</v>
      </c>
      <c r="O183" s="470" t="s">
        <v>3059</v>
      </c>
      <c r="P183" s="460" t="s">
        <v>496</v>
      </c>
      <c r="Q183" s="485" t="s">
        <v>3060</v>
      </c>
      <c r="R183" s="249" t="s">
        <v>3059</v>
      </c>
      <c r="S183" s="470" t="s">
        <v>3059</v>
      </c>
      <c r="T183" s="249" t="s">
        <v>3059</v>
      </c>
      <c r="U183" s="470" t="s">
        <v>3059</v>
      </c>
      <c r="V183" s="10" t="s">
        <v>2770</v>
      </c>
      <c r="W183" s="463" t="s">
        <v>1780</v>
      </c>
      <c r="X183" s="249" t="s">
        <v>3059</v>
      </c>
    </row>
    <row r="184" spans="1:24" ht="25.5">
      <c r="A184" s="470" t="s">
        <v>3061</v>
      </c>
      <c r="B184" s="249" t="s">
        <v>3061</v>
      </c>
      <c r="C184" s="12">
        <f>'Language 3'!C184</f>
        <v>0</v>
      </c>
      <c r="D184" s="483" t="s">
        <v>3061</v>
      </c>
      <c r="E184" s="470" t="s">
        <v>3062</v>
      </c>
      <c r="F184" s="483" t="s">
        <v>3061</v>
      </c>
      <c r="G184" s="483" t="s">
        <v>3061</v>
      </c>
      <c r="H184" s="483" t="s">
        <v>3061</v>
      </c>
      <c r="I184" s="463" t="s">
        <v>3231</v>
      </c>
      <c r="J184" s="483" t="s">
        <v>3061</v>
      </c>
      <c r="K184" s="483" t="s">
        <v>3061</v>
      </c>
      <c r="L184" s="483" t="s">
        <v>3061</v>
      </c>
      <c r="M184" s="483" t="s">
        <v>3061</v>
      </c>
      <c r="N184" s="483" t="s">
        <v>3061</v>
      </c>
      <c r="O184" s="483" t="s">
        <v>3061</v>
      </c>
      <c r="P184" s="483" t="s">
        <v>3061</v>
      </c>
      <c r="Q184" s="483" t="s">
        <v>3061</v>
      </c>
      <c r="R184" s="483" t="s">
        <v>3061</v>
      </c>
      <c r="S184" s="483" t="s">
        <v>3061</v>
      </c>
      <c r="T184" s="483" t="s">
        <v>3061</v>
      </c>
      <c r="U184" s="483" t="s">
        <v>3061</v>
      </c>
      <c r="V184" s="483" t="s">
        <v>3061</v>
      </c>
      <c r="W184" s="483" t="s">
        <v>3061</v>
      </c>
      <c r="X184" s="249" t="s">
        <v>3442</v>
      </c>
    </row>
    <row r="185" spans="1:24">
      <c r="A185" s="470" t="s">
        <v>3063</v>
      </c>
      <c r="B185" s="10" t="s">
        <v>3063</v>
      </c>
      <c r="C185" s="12">
        <f>'Language 3'!C185</f>
        <v>0</v>
      </c>
      <c r="D185" s="482" t="s">
        <v>3063</v>
      </c>
      <c r="E185" s="470" t="s">
        <v>3064</v>
      </c>
      <c r="F185" s="482" t="s">
        <v>3063</v>
      </c>
      <c r="G185" s="482" t="s">
        <v>3063</v>
      </c>
      <c r="H185" s="482" t="s">
        <v>3063</v>
      </c>
      <c r="I185" s="463" t="s">
        <v>3232</v>
      </c>
      <c r="J185" s="482" t="s">
        <v>3063</v>
      </c>
      <c r="K185" s="482" t="s">
        <v>3063</v>
      </c>
      <c r="L185" s="482" t="s">
        <v>3063</v>
      </c>
      <c r="M185" s="482" t="s">
        <v>3063</v>
      </c>
      <c r="N185" s="482" t="s">
        <v>3063</v>
      </c>
      <c r="O185" s="482" t="s">
        <v>3063</v>
      </c>
      <c r="P185" s="482" t="s">
        <v>3063</v>
      </c>
      <c r="Q185" s="482" t="s">
        <v>3063</v>
      </c>
      <c r="R185" s="482" t="s">
        <v>3063</v>
      </c>
      <c r="S185" s="482" t="s">
        <v>3063</v>
      </c>
      <c r="T185" s="482" t="s">
        <v>3063</v>
      </c>
      <c r="U185" s="482" t="s">
        <v>3063</v>
      </c>
      <c r="V185" s="482" t="s">
        <v>3063</v>
      </c>
      <c r="W185" s="482" t="s">
        <v>3063</v>
      </c>
      <c r="X185" s="10" t="s">
        <v>3443</v>
      </c>
    </row>
    <row r="186" spans="1:24" ht="38.25">
      <c r="A186" s="470" t="s">
        <v>3065</v>
      </c>
      <c r="B186" s="10" t="s">
        <v>3065</v>
      </c>
      <c r="C186" s="12">
        <f>'Language 3'!C186</f>
        <v>0</v>
      </c>
      <c r="D186" s="482" t="s">
        <v>3065</v>
      </c>
      <c r="E186" s="470" t="s">
        <v>3066</v>
      </c>
      <c r="F186" s="482" t="s">
        <v>3065</v>
      </c>
      <c r="G186" s="482" t="s">
        <v>3065</v>
      </c>
      <c r="H186" s="482" t="s">
        <v>3065</v>
      </c>
      <c r="I186" s="463" t="s">
        <v>3233</v>
      </c>
      <c r="J186" s="482" t="s">
        <v>3065</v>
      </c>
      <c r="K186" s="482" t="s">
        <v>3065</v>
      </c>
      <c r="L186" s="482" t="s">
        <v>3065</v>
      </c>
      <c r="M186" s="482" t="s">
        <v>3065</v>
      </c>
      <c r="N186" s="482" t="s">
        <v>3065</v>
      </c>
      <c r="O186" s="482" t="s">
        <v>3065</v>
      </c>
      <c r="P186" s="482" t="s">
        <v>3065</v>
      </c>
      <c r="Q186" s="482" t="s">
        <v>3065</v>
      </c>
      <c r="R186" s="482" t="s">
        <v>3065</v>
      </c>
      <c r="S186" s="482" t="s">
        <v>3065</v>
      </c>
      <c r="T186" s="482" t="s">
        <v>3065</v>
      </c>
      <c r="U186" s="482" t="s">
        <v>3065</v>
      </c>
      <c r="V186" s="482" t="s">
        <v>3065</v>
      </c>
      <c r="W186" s="482" t="s">
        <v>3065</v>
      </c>
      <c r="X186" s="10" t="s">
        <v>3444</v>
      </c>
    </row>
    <row r="187" spans="1:24" ht="63.75">
      <c r="A187" s="470" t="s">
        <v>3079</v>
      </c>
      <c r="B187" s="249" t="s">
        <v>3079</v>
      </c>
      <c r="C187" s="12">
        <f>'Language 3'!C187</f>
        <v>0</v>
      </c>
      <c r="D187" s="483" t="s">
        <v>3079</v>
      </c>
      <c r="E187" s="12" t="s">
        <v>3123</v>
      </c>
      <c r="F187" s="483" t="s">
        <v>3079</v>
      </c>
      <c r="G187" s="483" t="s">
        <v>3079</v>
      </c>
      <c r="H187" s="483" t="s">
        <v>3079</v>
      </c>
      <c r="I187" s="463" t="s">
        <v>3234</v>
      </c>
      <c r="J187" s="483" t="s">
        <v>3079</v>
      </c>
      <c r="K187" s="483" t="s">
        <v>3079</v>
      </c>
      <c r="L187" s="483" t="s">
        <v>3079</v>
      </c>
      <c r="M187" s="483" t="s">
        <v>3079</v>
      </c>
      <c r="N187" s="483" t="s">
        <v>3079</v>
      </c>
      <c r="O187" s="483" t="s">
        <v>3079</v>
      </c>
      <c r="P187" s="483" t="s">
        <v>3079</v>
      </c>
      <c r="Q187" s="483" t="s">
        <v>3079</v>
      </c>
      <c r="R187" s="483" t="s">
        <v>3079</v>
      </c>
      <c r="S187" s="483" t="s">
        <v>3079</v>
      </c>
      <c r="T187" s="483" t="s">
        <v>3079</v>
      </c>
      <c r="U187" s="483" t="s">
        <v>3079</v>
      </c>
      <c r="V187" s="483" t="s">
        <v>3079</v>
      </c>
      <c r="W187" s="483" t="s">
        <v>3079</v>
      </c>
      <c r="X187" s="249" t="s">
        <v>3445</v>
      </c>
    </row>
    <row r="188" spans="1:24" ht="129.6" customHeight="1">
      <c r="A188" s="470" t="s">
        <v>3117</v>
      </c>
      <c r="B188" s="10" t="s">
        <v>3117</v>
      </c>
      <c r="C188" s="12"/>
      <c r="D188" s="482" t="s">
        <v>3117</v>
      </c>
      <c r="E188" s="12" t="s">
        <v>3124</v>
      </c>
      <c r="F188" s="482" t="s">
        <v>3117</v>
      </c>
      <c r="G188" s="482" t="s">
        <v>3117</v>
      </c>
      <c r="H188" s="482" t="s">
        <v>3117</v>
      </c>
      <c r="I188" s="463" t="s">
        <v>3235</v>
      </c>
      <c r="J188" s="482" t="s">
        <v>3117</v>
      </c>
      <c r="K188" s="482" t="s">
        <v>3117</v>
      </c>
      <c r="L188" s="482" t="s">
        <v>3117</v>
      </c>
      <c r="M188" s="482" t="s">
        <v>3117</v>
      </c>
      <c r="N188" s="482" t="s">
        <v>3117</v>
      </c>
      <c r="O188" s="482" t="s">
        <v>3117</v>
      </c>
      <c r="P188" s="482" t="s">
        <v>3117</v>
      </c>
      <c r="Q188" s="482" t="s">
        <v>3117</v>
      </c>
      <c r="R188" s="482" t="s">
        <v>3117</v>
      </c>
      <c r="S188" s="482" t="s">
        <v>3117</v>
      </c>
      <c r="T188" s="482" t="s">
        <v>3117</v>
      </c>
      <c r="U188" s="482" t="s">
        <v>3117</v>
      </c>
      <c r="V188" s="482" t="s">
        <v>3117</v>
      </c>
      <c r="W188" s="482" t="s">
        <v>3117</v>
      </c>
      <c r="X188" s="10" t="s">
        <v>3446</v>
      </c>
    </row>
    <row r="189" spans="1:24" ht="127.5">
      <c r="A189" s="470" t="s">
        <v>3118</v>
      </c>
      <c r="B189" s="10" t="s">
        <v>3118</v>
      </c>
      <c r="C189" s="12"/>
      <c r="D189" s="482" t="s">
        <v>3118</v>
      </c>
      <c r="E189" s="12" t="s">
        <v>3125</v>
      </c>
      <c r="F189" s="482" t="s">
        <v>3118</v>
      </c>
      <c r="G189" s="482" t="s">
        <v>3118</v>
      </c>
      <c r="H189" s="482" t="s">
        <v>3118</v>
      </c>
      <c r="I189" s="463" t="s">
        <v>3236</v>
      </c>
      <c r="J189" s="482" t="s">
        <v>3118</v>
      </c>
      <c r="K189" s="482" t="s">
        <v>3118</v>
      </c>
      <c r="L189" s="482" t="s">
        <v>3118</v>
      </c>
      <c r="M189" s="482" t="s">
        <v>3118</v>
      </c>
      <c r="N189" s="482" t="s">
        <v>3118</v>
      </c>
      <c r="O189" s="482" t="s">
        <v>3118</v>
      </c>
      <c r="P189" s="482" t="s">
        <v>3118</v>
      </c>
      <c r="Q189" s="482" t="s">
        <v>3118</v>
      </c>
      <c r="R189" s="482" t="s">
        <v>3118</v>
      </c>
      <c r="S189" s="482" t="s">
        <v>3118</v>
      </c>
      <c r="T189" s="482" t="s">
        <v>3118</v>
      </c>
      <c r="U189" s="482" t="s">
        <v>3118</v>
      </c>
      <c r="V189" s="482" t="s">
        <v>3118</v>
      </c>
      <c r="W189" s="482" t="s">
        <v>3118</v>
      </c>
      <c r="X189" s="10" t="s">
        <v>3447</v>
      </c>
    </row>
    <row r="190" spans="1:24" ht="224.45" customHeight="1">
      <c r="A190" s="470" t="s">
        <v>3119</v>
      </c>
      <c r="B190" s="249" t="s">
        <v>3119</v>
      </c>
      <c r="C190" s="12">
        <f>'Language 3'!C190</f>
        <v>0</v>
      </c>
      <c r="D190" s="483" t="s">
        <v>3119</v>
      </c>
      <c r="E190" s="12" t="s">
        <v>3126</v>
      </c>
      <c r="F190" s="483" t="s">
        <v>3119</v>
      </c>
      <c r="G190" s="483" t="s">
        <v>3119</v>
      </c>
      <c r="H190" s="483" t="s">
        <v>3119</v>
      </c>
      <c r="I190" s="463" t="s">
        <v>3237</v>
      </c>
      <c r="J190" s="483" t="s">
        <v>3119</v>
      </c>
      <c r="K190" s="483" t="s">
        <v>3119</v>
      </c>
      <c r="L190" s="483" t="s">
        <v>3119</v>
      </c>
      <c r="M190" s="483" t="s">
        <v>3119</v>
      </c>
      <c r="N190" s="483" t="s">
        <v>3119</v>
      </c>
      <c r="O190" s="483" t="s">
        <v>3119</v>
      </c>
      <c r="P190" s="483" t="s">
        <v>3119</v>
      </c>
      <c r="Q190" s="483" t="s">
        <v>3119</v>
      </c>
      <c r="R190" s="483" t="s">
        <v>3119</v>
      </c>
      <c r="S190" s="483" t="s">
        <v>3119</v>
      </c>
      <c r="T190" s="483" t="s">
        <v>3119</v>
      </c>
      <c r="U190" s="483" t="s">
        <v>3119</v>
      </c>
      <c r="V190" s="483" t="s">
        <v>3119</v>
      </c>
      <c r="W190" s="483" t="s">
        <v>3119</v>
      </c>
      <c r="X190" s="249" t="s">
        <v>3448</v>
      </c>
    </row>
    <row r="191" spans="1:24" ht="115.9" customHeight="1">
      <c r="A191" s="470" t="s">
        <v>3120</v>
      </c>
      <c r="B191" s="249" t="s">
        <v>3120</v>
      </c>
      <c r="C191" s="12">
        <f>'Language 3'!C191</f>
        <v>0</v>
      </c>
      <c r="D191" s="483" t="s">
        <v>3120</v>
      </c>
      <c r="E191" s="12" t="s">
        <v>3127</v>
      </c>
      <c r="F191" s="483" t="s">
        <v>3120</v>
      </c>
      <c r="G191" s="483" t="s">
        <v>3120</v>
      </c>
      <c r="H191" s="483" t="s">
        <v>3120</v>
      </c>
      <c r="I191" s="463" t="s">
        <v>3238</v>
      </c>
      <c r="J191" s="483" t="s">
        <v>3120</v>
      </c>
      <c r="K191" s="483" t="s">
        <v>3120</v>
      </c>
      <c r="L191" s="483" t="s">
        <v>3120</v>
      </c>
      <c r="M191" s="483" t="s">
        <v>3120</v>
      </c>
      <c r="N191" s="483" t="s">
        <v>3120</v>
      </c>
      <c r="O191" s="483" t="s">
        <v>3120</v>
      </c>
      <c r="P191" s="483" t="s">
        <v>3120</v>
      </c>
      <c r="Q191" s="483" t="s">
        <v>3120</v>
      </c>
      <c r="R191" s="483" t="s">
        <v>3120</v>
      </c>
      <c r="S191" s="483" t="s">
        <v>3120</v>
      </c>
      <c r="T191" s="483" t="s">
        <v>3120</v>
      </c>
      <c r="U191" s="483" t="s">
        <v>3120</v>
      </c>
      <c r="V191" s="483" t="s">
        <v>3120</v>
      </c>
      <c r="W191" s="483" t="s">
        <v>3120</v>
      </c>
      <c r="X191" s="249" t="s">
        <v>3449</v>
      </c>
    </row>
    <row r="192" spans="1:24" ht="64.150000000000006" customHeight="1">
      <c r="A192" s="470" t="s">
        <v>3121</v>
      </c>
      <c r="B192" s="249" t="s">
        <v>3121</v>
      </c>
      <c r="C192" s="12">
        <f>'Language 3'!C192</f>
        <v>0</v>
      </c>
      <c r="D192" s="483" t="s">
        <v>3121</v>
      </c>
      <c r="E192" s="12" t="s">
        <v>3128</v>
      </c>
      <c r="F192" s="483" t="s">
        <v>3121</v>
      </c>
      <c r="G192" s="483" t="s">
        <v>3121</v>
      </c>
      <c r="H192" s="483" t="s">
        <v>3121</v>
      </c>
      <c r="I192" s="463" t="s">
        <v>3239</v>
      </c>
      <c r="J192" s="483" t="s">
        <v>3121</v>
      </c>
      <c r="K192" s="483" t="s">
        <v>3121</v>
      </c>
      <c r="L192" s="483" t="s">
        <v>3121</v>
      </c>
      <c r="M192" s="483" t="s">
        <v>3121</v>
      </c>
      <c r="N192" s="483" t="s">
        <v>3121</v>
      </c>
      <c r="O192" s="483" t="s">
        <v>3121</v>
      </c>
      <c r="P192" s="483" t="s">
        <v>3121</v>
      </c>
      <c r="Q192" s="483" t="s">
        <v>3121</v>
      </c>
      <c r="R192" s="483" t="s">
        <v>3121</v>
      </c>
      <c r="S192" s="483" t="s">
        <v>3121</v>
      </c>
      <c r="T192" s="483" t="s">
        <v>3121</v>
      </c>
      <c r="U192" s="483" t="s">
        <v>3121</v>
      </c>
      <c r="V192" s="483" t="s">
        <v>3121</v>
      </c>
      <c r="W192" s="483" t="s">
        <v>3121</v>
      </c>
      <c r="X192" s="249" t="s">
        <v>3450</v>
      </c>
    </row>
    <row r="193" spans="1:56" ht="30.6" customHeight="1">
      <c r="A193" s="470" t="s">
        <v>3068</v>
      </c>
      <c r="B193" s="10" t="s">
        <v>3068</v>
      </c>
      <c r="C193" s="12">
        <f>'Language 3'!C193</f>
        <v>0</v>
      </c>
      <c r="D193" s="482" t="s">
        <v>3068</v>
      </c>
      <c r="E193" s="12" t="s">
        <v>3129</v>
      </c>
      <c r="F193" s="482" t="s">
        <v>3068</v>
      </c>
      <c r="G193" s="482" t="s">
        <v>3068</v>
      </c>
      <c r="H193" s="482" t="s">
        <v>3068</v>
      </c>
      <c r="I193" s="463" t="s">
        <v>3240</v>
      </c>
      <c r="J193" s="482" t="s">
        <v>3068</v>
      </c>
      <c r="K193" s="482" t="s">
        <v>3068</v>
      </c>
      <c r="L193" s="482" t="s">
        <v>3068</v>
      </c>
      <c r="M193" s="482" t="s">
        <v>3068</v>
      </c>
      <c r="N193" s="482" t="s">
        <v>3068</v>
      </c>
      <c r="O193" s="482" t="s">
        <v>3068</v>
      </c>
      <c r="P193" s="482" t="s">
        <v>3068</v>
      </c>
      <c r="Q193" s="482" t="s">
        <v>3068</v>
      </c>
      <c r="R193" s="482" t="s">
        <v>3068</v>
      </c>
      <c r="S193" s="482" t="s">
        <v>3068</v>
      </c>
      <c r="T193" s="482" t="s">
        <v>3068</v>
      </c>
      <c r="U193" s="482" t="s">
        <v>3068</v>
      </c>
      <c r="V193" s="482" t="s">
        <v>3068</v>
      </c>
      <c r="W193" s="482" t="s">
        <v>3068</v>
      </c>
      <c r="X193" s="10" t="s">
        <v>3451</v>
      </c>
    </row>
    <row r="194" spans="1:56">
      <c r="A194" s="470" t="s">
        <v>3056</v>
      </c>
      <c r="B194" s="10" t="s">
        <v>3056</v>
      </c>
      <c r="C194" s="12">
        <f>'Language 3'!C194</f>
        <v>0</v>
      </c>
      <c r="D194" s="482" t="s">
        <v>3056</v>
      </c>
      <c r="E194" s="470" t="s">
        <v>3162</v>
      </c>
      <c r="F194" s="482" t="s">
        <v>3056</v>
      </c>
      <c r="G194" s="482" t="s">
        <v>3056</v>
      </c>
      <c r="H194" s="482" t="s">
        <v>3056</v>
      </c>
      <c r="I194" s="463" t="s">
        <v>3241</v>
      </c>
      <c r="J194" s="482" t="s">
        <v>3056</v>
      </c>
      <c r="K194" s="482" t="s">
        <v>3056</v>
      </c>
      <c r="L194" s="482" t="s">
        <v>3056</v>
      </c>
      <c r="M194" s="482" t="s">
        <v>3056</v>
      </c>
      <c r="N194" s="482" t="s">
        <v>3056</v>
      </c>
      <c r="O194" s="482" t="s">
        <v>3056</v>
      </c>
      <c r="P194" s="482" t="s">
        <v>3056</v>
      </c>
      <c r="Q194" s="482" t="s">
        <v>3056</v>
      </c>
      <c r="R194" s="482" t="s">
        <v>3056</v>
      </c>
      <c r="S194" s="482" t="s">
        <v>3056</v>
      </c>
      <c r="T194" s="482" t="s">
        <v>3056</v>
      </c>
      <c r="U194" s="482" t="s">
        <v>3056</v>
      </c>
      <c r="V194" s="482" t="s">
        <v>3056</v>
      </c>
      <c r="W194" s="482" t="s">
        <v>3056</v>
      </c>
      <c r="X194" s="10" t="s">
        <v>3452</v>
      </c>
    </row>
    <row r="195" spans="1:56" ht="63.75">
      <c r="A195" s="470" t="s">
        <v>3057</v>
      </c>
      <c r="B195" s="10" t="s">
        <v>3057</v>
      </c>
      <c r="C195" s="12">
        <f>'Language 3'!C195</f>
        <v>0</v>
      </c>
      <c r="D195" s="482" t="s">
        <v>3057</v>
      </c>
      <c r="E195" s="470" t="s">
        <v>3163</v>
      </c>
      <c r="F195" s="482" t="s">
        <v>3057</v>
      </c>
      <c r="G195" s="482" t="s">
        <v>3057</v>
      </c>
      <c r="H195" s="482" t="s">
        <v>3057</v>
      </c>
      <c r="I195" s="463" t="s">
        <v>3242</v>
      </c>
      <c r="J195" s="482" t="s">
        <v>3057</v>
      </c>
      <c r="K195" s="482" t="s">
        <v>3057</v>
      </c>
      <c r="L195" s="482" t="s">
        <v>3057</v>
      </c>
      <c r="M195" s="482" t="s">
        <v>3057</v>
      </c>
      <c r="N195" s="482" t="s">
        <v>3057</v>
      </c>
      <c r="O195" s="482" t="s">
        <v>3057</v>
      </c>
      <c r="P195" s="482" t="s">
        <v>3057</v>
      </c>
      <c r="Q195" s="482" t="s">
        <v>3057</v>
      </c>
      <c r="R195" s="482" t="s">
        <v>3057</v>
      </c>
      <c r="S195" s="482" t="s">
        <v>3057</v>
      </c>
      <c r="T195" s="482" t="s">
        <v>3057</v>
      </c>
      <c r="U195" s="482" t="s">
        <v>3057</v>
      </c>
      <c r="V195" s="482" t="s">
        <v>3057</v>
      </c>
      <c r="W195" s="482" t="s">
        <v>3057</v>
      </c>
      <c r="X195" s="10" t="s">
        <v>3453</v>
      </c>
    </row>
    <row r="196" spans="1:56" ht="51">
      <c r="A196" s="470" t="s">
        <v>3055</v>
      </c>
      <c r="B196" s="486" t="s">
        <v>3055</v>
      </c>
      <c r="C196" s="12">
        <f>'Language 3'!C196</f>
        <v>0</v>
      </c>
      <c r="D196" s="483" t="s">
        <v>3055</v>
      </c>
      <c r="E196" s="470" t="s">
        <v>3168</v>
      </c>
      <c r="F196" s="483" t="s">
        <v>3055</v>
      </c>
      <c r="G196" s="483" t="s">
        <v>3055</v>
      </c>
      <c r="H196" s="483" t="s">
        <v>3055</v>
      </c>
      <c r="I196" s="463" t="s">
        <v>3243</v>
      </c>
      <c r="J196" s="483" t="s">
        <v>3055</v>
      </c>
      <c r="K196" s="483" t="s">
        <v>3055</v>
      </c>
      <c r="L196" s="483" t="s">
        <v>3055</v>
      </c>
      <c r="M196" s="483" t="s">
        <v>3055</v>
      </c>
      <c r="N196" s="483" t="s">
        <v>3055</v>
      </c>
      <c r="O196" s="483" t="s">
        <v>3055</v>
      </c>
      <c r="P196" s="483" t="s">
        <v>3055</v>
      </c>
      <c r="Q196" s="483" t="s">
        <v>3055</v>
      </c>
      <c r="R196" s="483" t="s">
        <v>3055</v>
      </c>
      <c r="S196" s="483" t="s">
        <v>3055</v>
      </c>
      <c r="T196" s="483" t="s">
        <v>3055</v>
      </c>
      <c r="U196" s="483" t="s">
        <v>3055</v>
      </c>
      <c r="V196" s="483" t="s">
        <v>3055</v>
      </c>
      <c r="W196" s="483" t="s">
        <v>3055</v>
      </c>
      <c r="X196" s="249" t="s">
        <v>3454</v>
      </c>
    </row>
    <row r="197" spans="1:56" ht="38.25">
      <c r="A197" s="470" t="s">
        <v>3165</v>
      </c>
      <c r="B197" s="486" t="s">
        <v>3166</v>
      </c>
      <c r="C197" s="12">
        <f>'Language 3'!C197</f>
        <v>0</v>
      </c>
      <c r="D197" s="483" t="s">
        <v>3166</v>
      </c>
      <c r="E197" s="470" t="s">
        <v>3169</v>
      </c>
      <c r="F197" s="483" t="s">
        <v>3166</v>
      </c>
      <c r="G197" s="483" t="s">
        <v>3166</v>
      </c>
      <c r="H197" s="483" t="s">
        <v>3166</v>
      </c>
      <c r="I197" s="463" t="s">
        <v>3244</v>
      </c>
      <c r="J197" s="483" t="s">
        <v>3166</v>
      </c>
      <c r="K197" s="483" t="s">
        <v>3166</v>
      </c>
      <c r="L197" s="483" t="s">
        <v>3166</v>
      </c>
      <c r="M197" s="483" t="s">
        <v>3166</v>
      </c>
      <c r="N197" s="483" t="s">
        <v>3166</v>
      </c>
      <c r="O197" s="483" t="s">
        <v>3166</v>
      </c>
      <c r="P197" s="483" t="s">
        <v>3166</v>
      </c>
      <c r="Q197" s="483" t="s">
        <v>3166</v>
      </c>
      <c r="R197" s="483" t="s">
        <v>3166</v>
      </c>
      <c r="S197" s="483" t="s">
        <v>3166</v>
      </c>
      <c r="T197" s="483" t="s">
        <v>3166</v>
      </c>
      <c r="U197" s="483" t="s">
        <v>3166</v>
      </c>
      <c r="V197" s="483" t="s">
        <v>3166</v>
      </c>
      <c r="W197" s="483" t="s">
        <v>3166</v>
      </c>
      <c r="X197" s="249" t="s">
        <v>3455</v>
      </c>
    </row>
    <row r="198" spans="1:56">
      <c r="A198" s="470" t="s">
        <v>3054</v>
      </c>
      <c r="B198" s="249" t="s">
        <v>3054</v>
      </c>
      <c r="C198" s="12">
        <f>'Language 3'!C198</f>
        <v>0</v>
      </c>
      <c r="D198" s="483" t="s">
        <v>3054</v>
      </c>
      <c r="E198" s="470" t="s">
        <v>3167</v>
      </c>
      <c r="F198" s="483" t="s">
        <v>3054</v>
      </c>
      <c r="G198" s="483" t="s">
        <v>3054</v>
      </c>
      <c r="H198" s="483" t="s">
        <v>3054</v>
      </c>
      <c r="I198" s="463" t="s">
        <v>3245</v>
      </c>
      <c r="J198" s="483" t="s">
        <v>3054</v>
      </c>
      <c r="K198" s="483" t="s">
        <v>3054</v>
      </c>
      <c r="L198" s="483" t="s">
        <v>3054</v>
      </c>
      <c r="M198" s="483" t="s">
        <v>3054</v>
      </c>
      <c r="N198" s="483" t="s">
        <v>3054</v>
      </c>
      <c r="O198" s="483" t="s">
        <v>3054</v>
      </c>
      <c r="P198" s="483" t="s">
        <v>3054</v>
      </c>
      <c r="Q198" s="483" t="s">
        <v>3054</v>
      </c>
      <c r="R198" s="483" t="s">
        <v>3054</v>
      </c>
      <c r="S198" s="483" t="s">
        <v>3054</v>
      </c>
      <c r="T198" s="483" t="s">
        <v>3054</v>
      </c>
      <c r="U198" s="483" t="s">
        <v>3054</v>
      </c>
      <c r="V198" s="483" t="s">
        <v>3054</v>
      </c>
      <c r="W198" s="483" t="s">
        <v>3054</v>
      </c>
      <c r="X198" s="249" t="s">
        <v>3456</v>
      </c>
    </row>
    <row r="199" spans="1:56">
      <c r="A199" s="470" t="s">
        <v>3247</v>
      </c>
      <c r="B199" s="10" t="s">
        <v>3247</v>
      </c>
      <c r="C199" s="12">
        <f>'Language 3'!C199</f>
        <v>0</v>
      </c>
      <c r="D199" s="482" t="s">
        <v>3247</v>
      </c>
      <c r="E199" s="470" t="s">
        <v>3248</v>
      </c>
      <c r="F199" s="482" t="s">
        <v>3247</v>
      </c>
      <c r="G199" s="483" t="s">
        <v>3247</v>
      </c>
      <c r="H199" s="482" t="s">
        <v>3247</v>
      </c>
      <c r="I199" s="470" t="s">
        <v>3249</v>
      </c>
      <c r="J199" s="482" t="s">
        <v>3247</v>
      </c>
      <c r="K199" s="483" t="s">
        <v>3247</v>
      </c>
      <c r="L199" s="482" t="s">
        <v>3247</v>
      </c>
      <c r="M199" s="483" t="s">
        <v>3247</v>
      </c>
      <c r="N199" s="482" t="s">
        <v>3247</v>
      </c>
      <c r="O199" s="483" t="s">
        <v>3247</v>
      </c>
      <c r="P199" s="482" t="s">
        <v>3247</v>
      </c>
      <c r="Q199" s="483" t="s">
        <v>3247</v>
      </c>
      <c r="R199" s="482" t="s">
        <v>3247</v>
      </c>
      <c r="S199" s="483" t="s">
        <v>3247</v>
      </c>
      <c r="T199" s="482" t="s">
        <v>3247</v>
      </c>
      <c r="U199" s="483" t="s">
        <v>3247</v>
      </c>
      <c r="V199" s="482" t="s">
        <v>3247</v>
      </c>
      <c r="W199" s="483" t="s">
        <v>3247</v>
      </c>
      <c r="X199" s="10" t="s">
        <v>3457</v>
      </c>
    </row>
    <row r="200" spans="1:56" ht="38.25">
      <c r="A200" s="470" t="s">
        <v>3250</v>
      </c>
      <c r="B200" s="249" t="s">
        <v>3250</v>
      </c>
      <c r="C200" s="12">
        <f>'Language 3'!C200</f>
        <v>0</v>
      </c>
      <c r="D200" s="483" t="s">
        <v>3250</v>
      </c>
      <c r="E200" s="470" t="s">
        <v>3252</v>
      </c>
      <c r="F200" s="483" t="s">
        <v>3250</v>
      </c>
      <c r="G200" s="483" t="s">
        <v>3250</v>
      </c>
      <c r="H200" s="483" t="s">
        <v>3250</v>
      </c>
      <c r="I200" s="470" t="s">
        <v>3251</v>
      </c>
      <c r="J200" s="483" t="s">
        <v>3250</v>
      </c>
      <c r="K200" s="483" t="s">
        <v>3250</v>
      </c>
      <c r="L200" s="483" t="s">
        <v>3250</v>
      </c>
      <c r="M200" s="483" t="s">
        <v>3250</v>
      </c>
      <c r="N200" s="483" t="s">
        <v>3250</v>
      </c>
      <c r="O200" s="483" t="s">
        <v>3250</v>
      </c>
      <c r="P200" s="483" t="s">
        <v>3250</v>
      </c>
      <c r="Q200" s="483" t="s">
        <v>3250</v>
      </c>
      <c r="R200" s="483" t="s">
        <v>3250</v>
      </c>
      <c r="S200" s="483" t="s">
        <v>3250</v>
      </c>
      <c r="T200" s="483" t="s">
        <v>3250</v>
      </c>
      <c r="U200" s="483" t="s">
        <v>3250</v>
      </c>
      <c r="V200" s="483" t="s">
        <v>3250</v>
      </c>
      <c r="W200" s="483" t="s">
        <v>3250</v>
      </c>
      <c r="X200" s="249" t="s">
        <v>3458</v>
      </c>
    </row>
    <row r="201" spans="1:56">
      <c r="A201" s="470" t="s">
        <v>3253</v>
      </c>
      <c r="B201" s="249" t="s">
        <v>3253</v>
      </c>
      <c r="C201" s="12">
        <f>'Language 3'!C201</f>
        <v>0</v>
      </c>
      <c r="D201" s="483" t="s">
        <v>3253</v>
      </c>
      <c r="E201" s="470" t="s">
        <v>3255</v>
      </c>
      <c r="F201" s="483" t="s">
        <v>3253</v>
      </c>
      <c r="G201" s="483" t="s">
        <v>3253</v>
      </c>
      <c r="H201" s="483" t="s">
        <v>3253</v>
      </c>
      <c r="I201" s="470" t="s">
        <v>3254</v>
      </c>
      <c r="J201" s="483" t="s">
        <v>3253</v>
      </c>
      <c r="K201" s="483" t="s">
        <v>3253</v>
      </c>
      <c r="L201" s="483" t="s">
        <v>3253</v>
      </c>
      <c r="M201" s="483" t="s">
        <v>3253</v>
      </c>
      <c r="N201" s="483" t="s">
        <v>3253</v>
      </c>
      <c r="O201" s="483" t="s">
        <v>3253</v>
      </c>
      <c r="P201" s="483" t="s">
        <v>3253</v>
      </c>
      <c r="Q201" s="483" t="s">
        <v>3253</v>
      </c>
      <c r="R201" s="483" t="s">
        <v>3253</v>
      </c>
      <c r="S201" s="483" t="s">
        <v>3253</v>
      </c>
      <c r="T201" s="483" t="s">
        <v>3253</v>
      </c>
      <c r="U201" s="483" t="s">
        <v>3253</v>
      </c>
      <c r="V201" s="483" t="s">
        <v>3253</v>
      </c>
      <c r="W201" s="483" t="s">
        <v>3253</v>
      </c>
      <c r="X201" s="249" t="s">
        <v>3459</v>
      </c>
    </row>
    <row r="202" spans="1:56" s="472" customFormat="1" ht="38.25">
      <c r="A202" s="470" t="s">
        <v>3273</v>
      </c>
      <c r="B202" s="249" t="s">
        <v>3273</v>
      </c>
      <c r="C202" s="12">
        <f>'Language 3'!C202</f>
        <v>0</v>
      </c>
      <c r="D202" s="10" t="s">
        <v>972</v>
      </c>
      <c r="E202" s="470" t="s">
        <v>3275</v>
      </c>
      <c r="F202" s="249" t="s">
        <v>3259</v>
      </c>
      <c r="G202" s="12" t="s">
        <v>996</v>
      </c>
      <c r="H202" s="10" t="s">
        <v>1825</v>
      </c>
      <c r="I202" s="463" t="s">
        <v>3274</v>
      </c>
      <c r="J202" s="249" t="s">
        <v>3260</v>
      </c>
      <c r="K202" s="470" t="s">
        <v>3261</v>
      </c>
      <c r="L202" s="249" t="s">
        <v>3262</v>
      </c>
      <c r="M202" s="487" t="s">
        <v>3263</v>
      </c>
      <c r="N202" s="249" t="s">
        <v>3264</v>
      </c>
      <c r="O202" s="470" t="s">
        <v>3265</v>
      </c>
      <c r="P202" s="464" t="s">
        <v>2141</v>
      </c>
      <c r="Q202" s="485" t="s">
        <v>3266</v>
      </c>
      <c r="R202" s="249" t="s">
        <v>3267</v>
      </c>
      <c r="S202" s="470" t="s">
        <v>3268</v>
      </c>
      <c r="T202" s="249" t="s">
        <v>3269</v>
      </c>
      <c r="U202" s="470" t="s">
        <v>3270</v>
      </c>
      <c r="V202" s="249" t="s">
        <v>3271</v>
      </c>
      <c r="W202" s="463" t="s">
        <v>3272</v>
      </c>
      <c r="X202" s="249" t="s">
        <v>3460</v>
      </c>
      <c r="Y202" s="459"/>
      <c r="Z202" s="459"/>
      <c r="AA202" s="459"/>
      <c r="AB202" s="459"/>
      <c r="AC202" s="459"/>
      <c r="AD202" s="459"/>
      <c r="AE202" s="459"/>
      <c r="AF202" s="459"/>
      <c r="AG202" s="459"/>
      <c r="AH202" s="459"/>
      <c r="AI202" s="459"/>
      <c r="AJ202" s="459"/>
      <c r="AK202" s="459"/>
      <c r="AL202" s="459"/>
      <c r="AM202" s="459"/>
      <c r="AN202" s="459"/>
      <c r="AO202" s="459"/>
      <c r="AP202" s="459"/>
      <c r="AQ202" s="459"/>
      <c r="AR202" s="459"/>
      <c r="AS202" s="459"/>
      <c r="AT202" s="459"/>
      <c r="AU202" s="459"/>
      <c r="AV202" s="459"/>
      <c r="AW202" s="459"/>
      <c r="AX202" s="459"/>
      <c r="AY202" s="459"/>
      <c r="AZ202" s="459"/>
      <c r="BA202" s="459"/>
      <c r="BB202" s="459"/>
      <c r="BC202" s="459"/>
      <c r="BD202" s="459"/>
    </row>
  </sheetData>
  <sheetProtection algorithmName="SHA-512" hashValue="9IWgbVL2X7VBh6js2BCiIrv4JEKv9MyrorzRBLCF3w1fULFCFRpRYmPxLH+EAdqFOVjWfGS+cvvo9/VT6k/PFw==" saltValue="9mYBLC8M9aBQShUw//S7vA==" spinCount="100000" sheet="1" objects="1" scenarios="1"/>
  <phoneticPr fontId="7" type="noConversion"/>
  <hyperlinks>
    <hyperlink ref="L145" r:id="rId1"/>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1"/>
  <dimension ref="A1:G758"/>
  <sheetViews>
    <sheetView topLeftCell="A136" workbookViewId="0">
      <selection activeCell="A202" sqref="A202"/>
    </sheetView>
  </sheetViews>
  <sheetFormatPr baseColWidth="10"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7" t="s">
        <v>1878</v>
      </c>
      <c r="B2" s="778"/>
      <c r="C2" s="779"/>
      <c r="E2" s="786" t="str">
        <f>'Used Language'!C128</f>
        <v>Home</v>
      </c>
      <c r="F2" s="787"/>
      <c r="G2" s="788"/>
    </row>
    <row r="3" spans="1:7" ht="13.5" customHeight="1" thickBot="1">
      <c r="E3" s="789"/>
      <c r="F3" s="790"/>
      <c r="G3" s="791"/>
    </row>
    <row r="4" spans="1:7" ht="13.5" thickTop="1">
      <c r="A4" s="298" t="s">
        <v>1879</v>
      </c>
      <c r="B4" s="298"/>
      <c r="C4" s="298" t="s">
        <v>1608</v>
      </c>
    </row>
    <row r="5" spans="1:7">
      <c r="A5" s="299" t="str">
        <f>'Language 2'!B5</f>
        <v>Getting Started</v>
      </c>
      <c r="B5" s="300"/>
      <c r="C5" s="373"/>
      <c r="E5" s="780" t="s">
        <v>2833</v>
      </c>
      <c r="F5" s="781"/>
    </row>
    <row r="6" spans="1:7">
      <c r="A6" s="301" t="str">
        <f>'Language 2'!B6</f>
        <v>Water Balance</v>
      </c>
      <c r="B6" s="300"/>
      <c r="C6" s="302"/>
      <c r="E6" s="782"/>
      <c r="F6" s="783"/>
    </row>
    <row r="7" spans="1:7">
      <c r="A7" s="301" t="str">
        <f>'Language 2'!B7</f>
        <v>Performance Indicators</v>
      </c>
      <c r="B7" s="300"/>
      <c r="C7" s="302"/>
      <c r="E7" s="782"/>
      <c r="F7" s="783"/>
    </row>
    <row r="8" spans="1:7">
      <c r="A8" s="301" t="str">
        <f>'Language 2'!B8</f>
        <v>Network Data</v>
      </c>
      <c r="B8" s="300"/>
      <c r="C8" s="302"/>
      <c r="E8" s="782"/>
      <c r="F8" s="783"/>
    </row>
    <row r="9" spans="1:7">
      <c r="A9" s="301" t="str">
        <f>'Language 2'!B9</f>
        <v>Pressure</v>
      </c>
      <c r="B9" s="300"/>
      <c r="C9" s="302"/>
      <c r="E9" s="782"/>
      <c r="F9" s="783"/>
    </row>
    <row r="10" spans="1:7">
      <c r="A10" s="301" t="str">
        <f>'Language 2'!B10</f>
        <v>System Input Volume</v>
      </c>
      <c r="B10" s="300"/>
      <c r="C10" s="302"/>
      <c r="E10" s="782"/>
      <c r="F10" s="783"/>
    </row>
    <row r="11" spans="1:7">
      <c r="A11" s="301" t="str">
        <f>'Language 2'!B11</f>
        <v>Billed Consumption</v>
      </c>
      <c r="B11" s="300"/>
      <c r="C11" s="302"/>
      <c r="E11" s="782"/>
      <c r="F11" s="783"/>
    </row>
    <row r="12" spans="1:7">
      <c r="A12" s="301" t="str">
        <f>'Language 2'!B12</f>
        <v>Unbilled Consumption</v>
      </c>
      <c r="B12" s="300"/>
      <c r="C12" s="302"/>
      <c r="E12" s="782"/>
      <c r="F12" s="783"/>
    </row>
    <row r="13" spans="1:7">
      <c r="A13" s="301" t="str">
        <f>'Language 2'!B13</f>
        <v>Unauthorized Consumption</v>
      </c>
      <c r="B13" s="300"/>
      <c r="C13" s="302"/>
      <c r="E13" s="784"/>
      <c r="F13" s="785"/>
    </row>
    <row r="14" spans="1:7">
      <c r="A14" s="301" t="str">
        <f>'Language 2'!B14</f>
        <v>Customer Meter Inaccuracies and Data Handling Errors</v>
      </c>
      <c r="B14" s="300"/>
      <c r="C14" s="302"/>
    </row>
    <row r="15" spans="1:7">
      <c r="A15" s="301" t="str">
        <f>'Language 2'!B15</f>
        <v>Change Language</v>
      </c>
      <c r="B15" s="300"/>
      <c r="C15" s="301" t="s">
        <v>1606</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hyperlinks>
  <pageMargins left="0.78740157499999996" right="0.78740157499999996" top="0.984251969" bottom="0.984251969" header="0.4921259845" footer="0.4921259845"/>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pageSetUpPr fitToPage="1"/>
  </sheetPr>
  <dimension ref="A1:E1459"/>
  <sheetViews>
    <sheetView workbookViewId="0">
      <selection activeCell="E2" sqref="E2:E4"/>
    </sheetView>
  </sheetViews>
  <sheetFormatPr baseColWidth="10"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1882</v>
      </c>
      <c r="E2" s="792" t="str">
        <f>'Used Language'!C128</f>
        <v>Home</v>
      </c>
    </row>
    <row r="3" spans="1:5">
      <c r="E3" s="793"/>
    </row>
    <row r="4" spans="1:5" ht="13.5" thickBot="1">
      <c r="A4" s="6"/>
      <c r="B4" s="6"/>
      <c r="C4" s="5">
        <f>IF('Language 1'!I4=0,1,'Language 1'!I4)</f>
        <v>2</v>
      </c>
      <c r="E4" s="794"/>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Unauthorized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Authorized Consumption</v>
      </c>
    </row>
    <row r="18" spans="1:3">
      <c r="A18" s="4">
        <v>17</v>
      </c>
      <c r="C18" s="7" t="str">
        <f>HLOOKUP(C$4,'Language 2'!$A$2:$AC$150,A18)</f>
        <v>Water Losses</v>
      </c>
    </row>
    <row r="19" spans="1:3">
      <c r="A19" s="4">
        <v>18</v>
      </c>
      <c r="C19" s="7" t="str">
        <f>HLOOKUP(C$4,'Language 2'!$A$2:$AC$150,A19)</f>
        <v>Billed Authorized Consumption</v>
      </c>
    </row>
    <row r="20" spans="1:3">
      <c r="A20" s="4">
        <v>19</v>
      </c>
      <c r="C20" s="7" t="str">
        <f>HLOOKUP(C$4,'Language 2'!$A$2:$AC$150,A20)</f>
        <v>Unbilled Authorized Consumption</v>
      </c>
    </row>
    <row r="21" spans="1:3">
      <c r="A21" s="4">
        <v>20</v>
      </c>
      <c r="C21" s="7" t="str">
        <f>HLOOKUP(C$4,'Language 2'!$A$2:$AC$150,A21)</f>
        <v>Commercial Losses</v>
      </c>
    </row>
    <row r="22" spans="1:3">
      <c r="A22" s="4">
        <v>21</v>
      </c>
      <c r="C22" s="7" t="str">
        <f>HLOOKUP(C$4,'Language 2'!$A$2:$AC$150,A22)</f>
        <v>Physical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Physical Losses</v>
      </c>
    </row>
    <row r="38" spans="1:3">
      <c r="A38" s="4">
        <v>37</v>
      </c>
      <c r="C38" s="7" t="str">
        <f>HLOOKUP(C$4,'Language 2'!$A$2:$AC$150,A38)</f>
        <v>Physical Loss Performance Indicators</v>
      </c>
    </row>
    <row r="39" spans="1:3">
      <c r="A39" s="4">
        <v>38</v>
      </c>
      <c r="C39" s="7" t="str">
        <f>HLOOKUP(C$4,'Language 2'!$A$2:$AC$150,A39)</f>
        <v>Commercial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CAPL - Current Annual Volume of Physical Losses [m3/day]</v>
      </c>
    </row>
    <row r="47" spans="1:3">
      <c r="A47" s="4">
        <v>46</v>
      </c>
      <c r="C47" s="7" t="str">
        <f>HLOOKUP(C$4,'Language 2'!$A$2:$AC$150,A47)</f>
        <v>MAPL - Minimum Achievable Volume of Physical Losses [m3/day]</v>
      </c>
    </row>
    <row r="48" spans="1:3" ht="38.25">
      <c r="A48" s="4">
        <v>47</v>
      </c>
      <c r="C48" s="7" t="str">
        <f>HLOOKUP(C$4,'Language 2'!$A$2:$AC$150,A48)</f>
        <v>Liters per Connection per Day (w.s.p.)
w.s.p.: when the system is pressurized - this means the value is already corrected in the case of intermittent supply</v>
      </c>
    </row>
    <row r="49" spans="1:3">
      <c r="A49" s="4">
        <v>48</v>
      </c>
      <c r="C49" s="7" t="str">
        <f>HLOOKUP(C$4,'Language 2'!$A$2:$AC$150,A49)</f>
        <v>Liters per Connection per Day per meter Pressure (w.s.p.)</v>
      </c>
    </row>
    <row r="50" spans="1:3">
      <c r="A50" s="4">
        <v>49</v>
      </c>
      <c r="C50" s="7" t="str">
        <f>HLOOKUP(C$4,'Language 2'!$A$2:$AC$150,A50)</f>
        <v>Infrastructure Leakage Index (ILI)</v>
      </c>
    </row>
    <row r="51" spans="1:3">
      <c r="A51" s="4">
        <v>50</v>
      </c>
      <c r="C51" s="7" t="str">
        <f>HLOOKUP(C$4,'Language 2'!$A$2:$AC$150,A51)</f>
        <v>Commercial Losses expressed in % of Authorized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[kilometer]</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[liters/person/day]</v>
      </c>
    </row>
    <row r="95" spans="1:3" ht="25.5">
      <c r="A95" s="4">
        <v>94</v>
      </c>
      <c r="C95" s="7" t="str">
        <f>HLOOKUP(C$4,'Language 2'!$A$2:$AC$150,A95)</f>
        <v>Total
[m3]</v>
      </c>
    </row>
    <row r="96" spans="1:3" ht="25.5">
      <c r="A96" s="4">
        <v>95</v>
      </c>
      <c r="C96" s="7" t="str">
        <f>HLOOKUP(C$4,'Language 2'!$A$2:$AC$150,A96)</f>
        <v>Consumption
[liters/connection/day]</v>
      </c>
    </row>
    <row r="97" spans="1:3" ht="25.5">
      <c r="A97" s="4">
        <v>96</v>
      </c>
      <c r="C97" s="7" t="str">
        <f>HLOOKUP(C$4,'Language 2'!$A$2:$AC$150,A97)</f>
        <v>Consumption
[liters/customer/day]</v>
      </c>
    </row>
    <row r="98" spans="1:3">
      <c r="A98" s="4">
        <v>97</v>
      </c>
      <c r="C98" s="7" t="str">
        <f>HLOOKUP(C$4,'Language 2'!$A$2:$AC$150,A98)</f>
        <v>Unauthorized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Liters/connection/day </v>
      </c>
    </row>
    <row r="126" spans="1:3">
      <c r="A126" s="4">
        <v>125</v>
      </c>
      <c r="B126" s="2"/>
      <c r="C126" s="7" t="str">
        <f>HLOOKUP(C$4,'Language 2'!$A$2:$AC$150,A126)</f>
        <v>(when the system is pressurized)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liters/connection/day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Click the button to 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2">
    <pageSetUpPr fitToPage="1"/>
  </sheetPr>
  <dimension ref="A1:K22"/>
  <sheetViews>
    <sheetView workbookViewId="0">
      <selection activeCell="K5" sqref="K5:K6"/>
    </sheetView>
  </sheetViews>
  <sheetFormatPr baseColWidth="10"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0" t="str">
        <f>'Used Language'!C123</f>
        <v>Physical Loss Assessment Matrix</v>
      </c>
      <c r="C2" s="801"/>
      <c r="D2" s="801"/>
      <c r="E2" s="801"/>
      <c r="F2" s="801"/>
      <c r="G2" s="801"/>
      <c r="H2" s="801"/>
      <c r="I2" s="802"/>
      <c r="K2" s="795" t="str">
        <f>'Used Language'!C128</f>
        <v>Home</v>
      </c>
    </row>
    <row r="3" spans="1:11" ht="16.149999999999999" customHeight="1" thickBot="1">
      <c r="A3" s="274"/>
      <c r="B3" s="274"/>
      <c r="C3" s="275"/>
      <c r="D3" s="275"/>
      <c r="E3" s="274"/>
      <c r="F3" s="274"/>
      <c r="G3" s="274"/>
      <c r="H3" s="274"/>
      <c r="I3" s="274"/>
      <c r="J3" s="274"/>
      <c r="K3" s="796"/>
    </row>
    <row r="4" spans="1:11" ht="20.25" thickTop="1" thickBot="1">
      <c r="A4" s="274"/>
      <c r="B4" s="803" t="str">
        <f>'Used Language'!C124</f>
        <v>Technical Performance Category</v>
      </c>
      <c r="C4" s="804"/>
      <c r="D4" s="809" t="s">
        <v>1259</v>
      </c>
      <c r="E4" s="812" t="str">
        <f>'Used Language'!C125</f>
        <v xml:space="preserve">Liters/connection/day </v>
      </c>
      <c r="F4" s="813"/>
      <c r="G4" s="813"/>
      <c r="H4" s="813"/>
      <c r="I4" s="814"/>
      <c r="J4" s="274"/>
    </row>
    <row r="5" spans="1:11" ht="33" customHeight="1" thickTop="1" thickBot="1">
      <c r="A5" s="274"/>
      <c r="B5" s="805"/>
      <c r="C5" s="806"/>
      <c r="D5" s="810"/>
      <c r="E5" s="815" t="str">
        <f>'Used Language'!C126</f>
        <v>(when the system is pressurized) at an average pressure of:</v>
      </c>
      <c r="F5" s="816"/>
      <c r="G5" s="816"/>
      <c r="H5" s="816"/>
      <c r="I5" s="817"/>
      <c r="J5" s="274"/>
      <c r="K5" s="797" t="str">
        <f>'Used Language'!C127</f>
        <v>Back to Indicators</v>
      </c>
    </row>
    <row r="6" spans="1:11" ht="25.5" customHeight="1" thickBot="1">
      <c r="A6" s="274"/>
      <c r="B6" s="807"/>
      <c r="C6" s="808"/>
      <c r="D6" s="811"/>
      <c r="E6" s="280" t="s">
        <v>1262</v>
      </c>
      <c r="F6" s="280" t="s">
        <v>1263</v>
      </c>
      <c r="G6" s="280" t="s">
        <v>1264</v>
      </c>
      <c r="H6" s="280" t="s">
        <v>1265</v>
      </c>
      <c r="I6" s="281" t="s">
        <v>1266</v>
      </c>
      <c r="J6" s="274"/>
      <c r="K6" s="798"/>
    </row>
    <row r="7" spans="1:11" ht="35.25" customHeight="1" thickBot="1">
      <c r="A7" s="274"/>
      <c r="B7" s="818" t="str">
        <f>'Used Language'!C42</f>
        <v>Standard</v>
      </c>
      <c r="C7" s="282" t="s">
        <v>3069</v>
      </c>
      <c r="D7" s="283" t="s">
        <v>3071</v>
      </c>
      <c r="E7" s="282"/>
      <c r="F7" s="282" t="s">
        <v>3072</v>
      </c>
      <c r="G7" s="282" t="s">
        <v>3073</v>
      </c>
      <c r="H7" s="282" t="s">
        <v>1622</v>
      </c>
      <c r="I7" s="284" t="s">
        <v>3074</v>
      </c>
      <c r="J7" s="274"/>
    </row>
    <row r="8" spans="1:11" ht="35.25" customHeight="1" thickBot="1">
      <c r="A8" s="274"/>
      <c r="B8" s="819"/>
      <c r="C8" s="282" t="s">
        <v>3070</v>
      </c>
      <c r="D8" s="283" t="s">
        <v>3075</v>
      </c>
      <c r="E8" s="282"/>
      <c r="F8" s="282" t="s">
        <v>3076</v>
      </c>
      <c r="G8" s="282" t="s">
        <v>3077</v>
      </c>
      <c r="H8" s="282" t="s">
        <v>1626</v>
      </c>
      <c r="I8" s="284" t="s">
        <v>3078</v>
      </c>
      <c r="J8" s="274"/>
    </row>
    <row r="9" spans="1:11" ht="35.25" customHeight="1" thickBot="1">
      <c r="A9" s="274"/>
      <c r="B9" s="819"/>
      <c r="C9" s="282" t="s">
        <v>1625</v>
      </c>
      <c r="D9" s="283" t="s">
        <v>1647</v>
      </c>
      <c r="E9" s="282"/>
      <c r="F9" s="282" t="s">
        <v>1626</v>
      </c>
      <c r="G9" s="282" t="s">
        <v>1627</v>
      </c>
      <c r="H9" s="282" t="s">
        <v>1628</v>
      </c>
      <c r="I9" s="284" t="s">
        <v>1629</v>
      </c>
      <c r="J9" s="274"/>
    </row>
    <row r="10" spans="1:11" ht="35.25" customHeight="1" thickBot="1">
      <c r="A10" s="274"/>
      <c r="B10" s="819"/>
      <c r="C10" s="282" t="s">
        <v>1630</v>
      </c>
      <c r="D10" s="283" t="s">
        <v>1648</v>
      </c>
      <c r="E10" s="282"/>
      <c r="F10" s="282" t="s">
        <v>1628</v>
      </c>
      <c r="G10" s="282" t="s">
        <v>1631</v>
      </c>
      <c r="H10" s="282" t="s">
        <v>1632</v>
      </c>
      <c r="I10" s="284" t="s">
        <v>1633</v>
      </c>
      <c r="J10" s="274"/>
    </row>
    <row r="11" spans="1:11" ht="35.25" customHeight="1" thickBot="1">
      <c r="A11" s="274"/>
      <c r="B11" s="820"/>
      <c r="C11" s="282" t="s">
        <v>1634</v>
      </c>
      <c r="D11" s="282" t="s">
        <v>1635</v>
      </c>
      <c r="E11" s="282"/>
      <c r="F11" s="282" t="s">
        <v>1636</v>
      </c>
      <c r="G11" s="282" t="s">
        <v>1637</v>
      </c>
      <c r="H11" s="282" t="s">
        <v>1638</v>
      </c>
      <c r="I11" s="284" t="s">
        <v>1639</v>
      </c>
      <c r="J11" s="274"/>
    </row>
    <row r="12" spans="1:11" ht="35.25" customHeight="1" thickBot="1">
      <c r="A12" s="274"/>
      <c r="B12" s="821" t="str">
        <f>'Used Language'!C43</f>
        <v>Low and Middle Income Countries</v>
      </c>
      <c r="C12" s="285" t="s">
        <v>3069</v>
      </c>
      <c r="D12" s="286" t="s">
        <v>3093</v>
      </c>
      <c r="E12" s="285" t="s">
        <v>3072</v>
      </c>
      <c r="F12" s="285" t="s">
        <v>1622</v>
      </c>
      <c r="G12" s="285" t="s">
        <v>1623</v>
      </c>
      <c r="H12" s="285" t="s">
        <v>1624</v>
      </c>
      <c r="I12" s="287" t="s">
        <v>3094</v>
      </c>
      <c r="J12" s="274"/>
    </row>
    <row r="13" spans="1:11" ht="35.25" customHeight="1" thickBot="1">
      <c r="A13" s="274"/>
      <c r="B13" s="822"/>
      <c r="C13" s="285" t="s">
        <v>3070</v>
      </c>
      <c r="D13" s="286" t="s">
        <v>3095</v>
      </c>
      <c r="E13" s="285" t="s">
        <v>3076</v>
      </c>
      <c r="F13" s="285" t="s">
        <v>1626</v>
      </c>
      <c r="G13" s="285" t="s">
        <v>1627</v>
      </c>
      <c r="H13" s="285" t="s">
        <v>1628</v>
      </c>
      <c r="I13" s="287" t="s">
        <v>1629</v>
      </c>
      <c r="J13" s="274"/>
    </row>
    <row r="14" spans="1:11" ht="35.25" customHeight="1" thickBot="1">
      <c r="A14" s="274"/>
      <c r="B14" s="822"/>
      <c r="C14" s="285" t="s">
        <v>1625</v>
      </c>
      <c r="D14" s="286" t="s">
        <v>1648</v>
      </c>
      <c r="E14" s="285" t="s">
        <v>1626</v>
      </c>
      <c r="F14" s="285" t="s">
        <v>1628</v>
      </c>
      <c r="G14" s="285" t="s">
        <v>1631</v>
      </c>
      <c r="H14" s="285" t="s">
        <v>1632</v>
      </c>
      <c r="I14" s="287" t="s">
        <v>1633</v>
      </c>
      <c r="J14" s="274"/>
    </row>
    <row r="15" spans="1:11" ht="35.25" customHeight="1" thickBot="1">
      <c r="A15" s="274"/>
      <c r="B15" s="822"/>
      <c r="C15" s="285" t="s">
        <v>1630</v>
      </c>
      <c r="D15" s="288" t="s">
        <v>1649</v>
      </c>
      <c r="E15" s="285" t="s">
        <v>1628</v>
      </c>
      <c r="F15" s="285" t="s">
        <v>1632</v>
      </c>
      <c r="G15" s="285" t="s">
        <v>1640</v>
      </c>
      <c r="H15" s="285" t="s">
        <v>1641</v>
      </c>
      <c r="I15" s="287" t="s">
        <v>1642</v>
      </c>
      <c r="J15" s="274"/>
    </row>
    <row r="16" spans="1:11" ht="35.25" customHeight="1" thickBot="1">
      <c r="A16" s="274"/>
      <c r="B16" s="823"/>
      <c r="C16" s="289" t="s">
        <v>1634</v>
      </c>
      <c r="D16" s="289" t="s">
        <v>1643</v>
      </c>
      <c r="E16" s="289" t="s">
        <v>1636</v>
      </c>
      <c r="F16" s="289" t="s">
        <v>1638</v>
      </c>
      <c r="G16" s="289" t="s">
        <v>1644</v>
      </c>
      <c r="H16" s="289" t="s">
        <v>1645</v>
      </c>
      <c r="I16" s="290" t="s">
        <v>1646</v>
      </c>
      <c r="J16" s="274"/>
    </row>
    <row r="17" spans="1:10" ht="19.5" thickTop="1">
      <c r="A17" s="274"/>
      <c r="B17" s="277"/>
      <c r="C17" s="278"/>
      <c r="D17" s="278"/>
      <c r="E17" s="277"/>
      <c r="F17" s="277"/>
      <c r="G17" s="277"/>
      <c r="H17" s="277"/>
      <c r="I17" s="277"/>
      <c r="J17" s="274"/>
    </row>
    <row r="18" spans="1:10" ht="59.45" customHeight="1">
      <c r="A18" s="274"/>
      <c r="B18" s="277"/>
      <c r="C18" s="276" t="s">
        <v>3069</v>
      </c>
      <c r="D18" s="799" t="str">
        <f>'Used Language'!C187</f>
        <v>World class leakage management performance; only marginal further reductions theoretically possible</v>
      </c>
      <c r="E18" s="799"/>
      <c r="F18" s="799"/>
      <c r="G18" s="799"/>
      <c r="H18" s="799"/>
      <c r="I18" s="799"/>
      <c r="J18" s="274"/>
    </row>
    <row r="19" spans="1:10" ht="60.6" customHeight="1">
      <c r="A19" s="274"/>
      <c r="B19" s="279"/>
      <c r="C19" s="276" t="s">
        <v>3070</v>
      </c>
      <c r="D19" s="799" t="str">
        <f>'Used Language'!C129</f>
        <v>Further loss reduction may be uneconomic unless there are shortages; careful analysis needed to identify cost effective improvement</v>
      </c>
      <c r="E19" s="799"/>
      <c r="F19" s="799"/>
      <c r="G19" s="799"/>
      <c r="H19" s="799"/>
      <c r="I19" s="799"/>
      <c r="J19" s="274"/>
    </row>
    <row r="20" spans="1:10" ht="61.15" customHeight="1">
      <c r="A20" s="274"/>
      <c r="B20" s="279"/>
      <c r="C20" s="276" t="s">
        <v>1625</v>
      </c>
      <c r="D20" s="799" t="str">
        <f>'Used Language'!C130</f>
        <v>Potential for marked improvements; consider   pressure management; better active leakage control practices, and better network maintenance</v>
      </c>
      <c r="E20" s="799"/>
      <c r="F20" s="799"/>
      <c r="G20" s="799"/>
      <c r="H20" s="799"/>
      <c r="I20" s="799"/>
      <c r="J20" s="274"/>
    </row>
    <row r="21" spans="1:10" ht="67.900000000000006" customHeight="1">
      <c r="A21" s="274"/>
      <c r="B21" s="279"/>
      <c r="C21" s="276" t="s">
        <v>1630</v>
      </c>
      <c r="D21" s="799" t="str">
        <f>'Used Language'!C131</f>
        <v>Poor leakage record; tolerable only if water is plentiful and cheap; even then, analyze level and nature of leakage and intensify leakage reduction efforts</v>
      </c>
      <c r="E21" s="799"/>
      <c r="F21" s="799"/>
      <c r="G21" s="799"/>
      <c r="H21" s="799"/>
      <c r="I21" s="799"/>
      <c r="J21" s="274"/>
    </row>
    <row r="22" spans="1:10" ht="47.45" customHeight="1">
      <c r="B22" s="279"/>
      <c r="C22" s="276" t="s">
        <v>1634</v>
      </c>
      <c r="D22" s="799" t="str">
        <f>'Used Language'!C132</f>
        <v>Horrendously inefficient use of resources; leakage reduction programs imperative and high priority</v>
      </c>
      <c r="E22" s="799"/>
      <c r="F22" s="799"/>
      <c r="G22" s="799"/>
      <c r="H22" s="799"/>
      <c r="I22" s="799"/>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hyperlink ref="K5:K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7">
    <pageSetUpPr fitToPage="1"/>
  </sheetPr>
  <dimension ref="A1:J24"/>
  <sheetViews>
    <sheetView topLeftCell="A2" workbookViewId="0">
      <selection activeCell="J5" sqref="J5:J6"/>
    </sheetView>
  </sheetViews>
  <sheetFormatPr baseColWidth="10" defaultColWidth="11.42578125" defaultRowHeight="15.75"/>
  <cols>
    <col min="1" max="1" width="2.28515625" style="423" customWidth="1"/>
    <col min="2" max="2" width="14.5703125" style="423" customWidth="1"/>
    <col min="3" max="3" width="11.42578125" style="424"/>
    <col min="4" max="8" width="14.140625" style="423" customWidth="1"/>
    <col min="9" max="9" width="2.28515625" style="423" customWidth="1"/>
    <col min="10" max="10" width="25.5703125" style="423" customWidth="1"/>
    <col min="11" max="16384" width="11.42578125" style="423"/>
  </cols>
  <sheetData>
    <row r="1" spans="1:10" ht="16.5" thickBot="1"/>
    <row r="2" spans="1:10" ht="22.15" customHeight="1" thickTop="1">
      <c r="B2" s="800" t="str">
        <f>'Used Language'!C193</f>
        <v>International NRW Assessment Matrix</v>
      </c>
      <c r="C2" s="801"/>
      <c r="D2" s="801"/>
      <c r="E2" s="801"/>
      <c r="F2" s="801"/>
      <c r="G2" s="801"/>
      <c r="H2" s="802"/>
      <c r="J2" s="795" t="str">
        <f>'Used Language'!C128</f>
        <v>Home</v>
      </c>
    </row>
    <row r="3" spans="1:10" ht="16.149999999999999" customHeight="1" thickBot="1">
      <c r="A3" s="425"/>
      <c r="B3" s="425"/>
      <c r="C3" s="426"/>
      <c r="D3" s="425"/>
      <c r="E3" s="425"/>
      <c r="F3" s="425"/>
      <c r="G3" s="425"/>
      <c r="H3" s="425"/>
      <c r="I3" s="425"/>
      <c r="J3" s="796"/>
    </row>
    <row r="4" spans="1:10" ht="20.25" thickTop="1" thickBot="1">
      <c r="A4" s="425"/>
      <c r="B4" s="803" t="str">
        <f>'Used Language'!C124</f>
        <v>Technical Performance Category</v>
      </c>
      <c r="C4" s="804"/>
      <c r="D4" s="824" t="str">
        <f>'Used Language'!C125</f>
        <v xml:space="preserve">Liters/connection/day </v>
      </c>
      <c r="E4" s="825"/>
      <c r="F4" s="825"/>
      <c r="G4" s="825"/>
      <c r="H4" s="826"/>
      <c r="I4" s="425"/>
    </row>
    <row r="5" spans="1:10" ht="33" customHeight="1" thickTop="1" thickBot="1">
      <c r="A5" s="425"/>
      <c r="B5" s="805"/>
      <c r="C5" s="806"/>
      <c r="D5" s="815" t="str">
        <f>'Used Language'!C126</f>
        <v>(when the system is pressurized) at an average pressure of:</v>
      </c>
      <c r="E5" s="816"/>
      <c r="F5" s="816"/>
      <c r="G5" s="816"/>
      <c r="H5" s="817"/>
      <c r="I5" s="425"/>
      <c r="J5" s="797" t="str">
        <f>'Used Language'!C127</f>
        <v>Back to Indicators</v>
      </c>
    </row>
    <row r="6" spans="1:10" ht="25.5" customHeight="1" thickBot="1">
      <c r="A6" s="425"/>
      <c r="B6" s="807"/>
      <c r="C6" s="808"/>
      <c r="D6" s="280" t="s">
        <v>1262</v>
      </c>
      <c r="E6" s="280" t="s">
        <v>1263</v>
      </c>
      <c r="F6" s="280" t="s">
        <v>1264</v>
      </c>
      <c r="G6" s="280" t="s">
        <v>1265</v>
      </c>
      <c r="H6" s="281" t="s">
        <v>1266</v>
      </c>
      <c r="I6" s="425"/>
      <c r="J6" s="798"/>
    </row>
    <row r="7" spans="1:10" ht="35.25" customHeight="1" thickBot="1">
      <c r="A7" s="425"/>
      <c r="B7" s="827" t="str">
        <f>'Used Language'!C42</f>
        <v>Standard</v>
      </c>
      <c r="C7" s="315" t="s">
        <v>3069</v>
      </c>
      <c r="D7" s="315"/>
      <c r="E7" s="315" t="s">
        <v>1622</v>
      </c>
      <c r="F7" s="315" t="s">
        <v>3080</v>
      </c>
      <c r="G7" s="315" t="s">
        <v>1623</v>
      </c>
      <c r="H7" s="316" t="s">
        <v>3081</v>
      </c>
      <c r="I7" s="425"/>
    </row>
    <row r="8" spans="1:10" ht="35.25" customHeight="1" thickBot="1">
      <c r="A8" s="425"/>
      <c r="B8" s="828"/>
      <c r="C8" s="315" t="s">
        <v>3070</v>
      </c>
      <c r="D8" s="315"/>
      <c r="E8" s="315" t="s">
        <v>1626</v>
      </c>
      <c r="F8" s="315" t="s">
        <v>3082</v>
      </c>
      <c r="G8" s="315" t="s">
        <v>1627</v>
      </c>
      <c r="H8" s="316" t="s">
        <v>3083</v>
      </c>
      <c r="I8" s="425"/>
    </row>
    <row r="9" spans="1:10" ht="35.25" customHeight="1" thickBot="1">
      <c r="A9" s="425"/>
      <c r="B9" s="828"/>
      <c r="C9" s="315" t="s">
        <v>1625</v>
      </c>
      <c r="D9" s="315"/>
      <c r="E9" s="315" t="s">
        <v>1628</v>
      </c>
      <c r="F9" s="315" t="s">
        <v>1629</v>
      </c>
      <c r="G9" s="315" t="s">
        <v>1631</v>
      </c>
      <c r="H9" s="316" t="s">
        <v>3084</v>
      </c>
      <c r="I9" s="425"/>
    </row>
    <row r="10" spans="1:10" ht="35.25" customHeight="1" thickBot="1">
      <c r="A10" s="425"/>
      <c r="B10" s="828"/>
      <c r="C10" s="315" t="s">
        <v>1630</v>
      </c>
      <c r="D10" s="315"/>
      <c r="E10" s="315" t="s">
        <v>3085</v>
      </c>
      <c r="F10" s="315" t="s">
        <v>3086</v>
      </c>
      <c r="G10" s="315" t="s">
        <v>3087</v>
      </c>
      <c r="H10" s="316" t="s">
        <v>3088</v>
      </c>
      <c r="I10" s="425"/>
    </row>
    <row r="11" spans="1:10" ht="35.25" customHeight="1" thickBot="1">
      <c r="A11" s="425"/>
      <c r="B11" s="829"/>
      <c r="C11" s="315" t="s">
        <v>1634</v>
      </c>
      <c r="D11" s="315"/>
      <c r="E11" s="315" t="s">
        <v>3089</v>
      </c>
      <c r="F11" s="315" t="s">
        <v>3090</v>
      </c>
      <c r="G11" s="315" t="s">
        <v>3091</v>
      </c>
      <c r="H11" s="316" t="s">
        <v>3092</v>
      </c>
      <c r="I11" s="425"/>
    </row>
    <row r="12" spans="1:10" ht="35.25" customHeight="1" thickBot="1">
      <c r="A12" s="425"/>
      <c r="B12" s="830" t="str">
        <f>'Used Language'!C43</f>
        <v>Low and Middle Income Countries</v>
      </c>
      <c r="C12" s="317" t="s">
        <v>3069</v>
      </c>
      <c r="D12" s="317" t="s">
        <v>3096</v>
      </c>
      <c r="E12" s="317" t="s">
        <v>3097</v>
      </c>
      <c r="F12" s="317" t="s">
        <v>3098</v>
      </c>
      <c r="G12" s="317" t="s">
        <v>3099</v>
      </c>
      <c r="H12" s="318" t="s">
        <v>3100</v>
      </c>
      <c r="I12" s="425"/>
    </row>
    <row r="13" spans="1:10" ht="35.25" customHeight="1" thickBot="1">
      <c r="A13" s="425"/>
      <c r="B13" s="831"/>
      <c r="C13" s="317" t="s">
        <v>3070</v>
      </c>
      <c r="D13" s="317" t="s">
        <v>3101</v>
      </c>
      <c r="E13" s="317" t="s">
        <v>3102</v>
      </c>
      <c r="F13" s="317" t="s">
        <v>3103</v>
      </c>
      <c r="G13" s="317" t="s">
        <v>3104</v>
      </c>
      <c r="H13" s="318" t="s">
        <v>3105</v>
      </c>
      <c r="I13" s="425"/>
    </row>
    <row r="14" spans="1:10" ht="35.25" customHeight="1" thickBot="1">
      <c r="A14" s="425"/>
      <c r="B14" s="831"/>
      <c r="C14" s="317" t="s">
        <v>1625</v>
      </c>
      <c r="D14" s="317" t="s">
        <v>3106</v>
      </c>
      <c r="E14" s="317" t="s">
        <v>3107</v>
      </c>
      <c r="F14" s="317" t="s">
        <v>3108</v>
      </c>
      <c r="G14" s="317" t="s">
        <v>3109</v>
      </c>
      <c r="H14" s="318" t="s">
        <v>3110</v>
      </c>
      <c r="I14" s="425"/>
    </row>
    <row r="15" spans="1:10" ht="35.25" customHeight="1" thickBot="1">
      <c r="A15" s="425"/>
      <c r="B15" s="831"/>
      <c r="C15" s="317" t="s">
        <v>1630</v>
      </c>
      <c r="D15" s="317" t="s">
        <v>3111</v>
      </c>
      <c r="E15" s="317" t="s">
        <v>3112</v>
      </c>
      <c r="F15" s="317" t="s">
        <v>3113</v>
      </c>
      <c r="G15" s="317" t="s">
        <v>3114</v>
      </c>
      <c r="H15" s="318" t="s">
        <v>3115</v>
      </c>
      <c r="I15" s="425"/>
    </row>
    <row r="16" spans="1:10" ht="35.25" customHeight="1" thickBot="1">
      <c r="A16" s="425"/>
      <c r="B16" s="832"/>
      <c r="C16" s="319" t="s">
        <v>1634</v>
      </c>
      <c r="D16" s="319" t="s">
        <v>1638</v>
      </c>
      <c r="E16" s="319" t="s">
        <v>1644</v>
      </c>
      <c r="F16" s="319" t="s">
        <v>1645</v>
      </c>
      <c r="G16" s="319" t="s">
        <v>1646</v>
      </c>
      <c r="H16" s="320" t="s">
        <v>3116</v>
      </c>
      <c r="I16" s="425"/>
    </row>
    <row r="17" spans="1:9" ht="19.5" thickTop="1">
      <c r="A17" s="425"/>
      <c r="B17" s="427"/>
      <c r="C17" s="428"/>
      <c r="D17" s="427"/>
      <c r="E17" s="427"/>
      <c r="F17" s="427"/>
      <c r="G17" s="427"/>
      <c r="H17" s="427"/>
      <c r="I17" s="425"/>
    </row>
    <row r="18" spans="1:9" s="297" customFormat="1" ht="90.6" customHeight="1">
      <c r="A18" s="294"/>
      <c r="B18" s="295"/>
      <c r="C18" s="296" t="s">
        <v>3069</v>
      </c>
      <c r="D18" s="799" t="str">
        <f>'Used Language'!C188</f>
        <v>World class NRW management performance; the potential for further NRW reductions is small unless there is still potential for pressure reduction or accuracy improvement of large customer meters</v>
      </c>
      <c r="E18" s="799"/>
      <c r="F18" s="799"/>
      <c r="G18" s="799"/>
      <c r="H18" s="799"/>
      <c r="I18" s="294"/>
    </row>
    <row r="19" spans="1:9" s="297" customFormat="1" ht="88.9" customHeight="1">
      <c r="A19" s="294"/>
      <c r="B19" s="295"/>
      <c r="C19" s="296" t="s">
        <v>3070</v>
      </c>
      <c r="D19" s="799" t="str">
        <f>'Used Language'!C189</f>
        <v xml:space="preserve">Further NRW reduction may be uneconomic unless there are water shortages or very high water tariffs; a detailed water audit is required to identify cost-effective improvements
</v>
      </c>
      <c r="E19" s="799"/>
      <c r="F19" s="799"/>
      <c r="G19" s="799"/>
      <c r="H19" s="799"/>
      <c r="I19" s="294"/>
    </row>
    <row r="20" spans="1:9" s="297" customFormat="1" ht="148.15" customHeight="1">
      <c r="A20" s="294"/>
      <c r="B20" s="295"/>
      <c r="C20" s="296" t="s">
        <v>1625</v>
      </c>
      <c r="D20" s="799"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799"/>
      <c r="F20" s="799"/>
      <c r="G20" s="799"/>
      <c r="H20" s="799"/>
      <c r="I20" s="294"/>
    </row>
    <row r="21" spans="1:9" s="297" customFormat="1" ht="96" customHeight="1">
      <c r="A21" s="294"/>
      <c r="B21" s="295"/>
      <c r="C21" s="296" t="s">
        <v>1630</v>
      </c>
      <c r="D21" s="799" t="str">
        <f>'Used Language'!C191</f>
        <v xml:space="preserve">Poor NRW record; tolerable only if water is plentiful and cheap; even then, analyze level and causes of NRW and intensify NRW reduction efforts
</v>
      </c>
      <c r="E21" s="799"/>
      <c r="F21" s="799"/>
      <c r="G21" s="799"/>
      <c r="H21" s="799"/>
      <c r="I21" s="294"/>
    </row>
    <row r="22" spans="1:9" s="297" customFormat="1" ht="60" customHeight="1">
      <c r="B22" s="295"/>
      <c r="C22" s="296" t="s">
        <v>1634</v>
      </c>
      <c r="D22" s="799" t="str">
        <f>'Used Language'!C192</f>
        <v>Highly inefficient; a comprehensive NRW reduction program is imperative and high-priority</v>
      </c>
      <c r="E22" s="799"/>
      <c r="F22" s="799"/>
      <c r="G22" s="799"/>
      <c r="H22" s="799"/>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hyperlink ref="J5:J6" location="PIs!A1" display="Back to Indicators"/>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23</vt:i4>
      </vt:variant>
      <vt:variant>
        <vt:lpstr>Benannte Bereiche</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'Billed Cons'!Druckbereich</vt:lpstr>
      <vt:lpstr>'Financial Data'!Druckbereich</vt:lpstr>
      <vt:lpstr>'Intermittent Supply'!Druckbereich</vt:lpstr>
      <vt:lpstr>Matrix!Druckbereich</vt:lpstr>
      <vt:lpstr>'Matrix (2)'!Druckbereich</vt:lpstr>
      <vt:lpstr>'Meter Errors'!Druckbereich</vt:lpstr>
      <vt:lpstr>Network!Druckbereich</vt:lpstr>
      <vt:lpstr>PIs!Druckbereich</vt:lpstr>
      <vt:lpstr>Pressure!Druckbereich</vt:lpstr>
      <vt:lpstr>Start!Druckbereich</vt:lpstr>
      <vt:lpstr>'Sys. Input'!Druckbereich</vt:lpstr>
      <vt:lpstr>'Unauth. Cons.'!Druckbereich</vt:lpstr>
      <vt:lpstr>'Unb. Cons.'!Druckbereich</vt:lpstr>
      <vt:lpstr>'Used Language'!Druckbereich</vt:lpstr>
      <vt:lpstr>'Water Balance m3'!Druckbereich</vt:lpstr>
      <vt:lpstr>'Water Balance m3day'!Druckbereich</vt:lpstr>
      <vt:lpstr>'Water Balance m3year'!Druckbereich</vt:lpstr>
      <vt:lpstr>'Language 2'!OLE_LINK1</vt:lpstr>
    </vt:vector>
  </TitlesOfParts>
  <Company>Liemberger &amp; Partners GmbH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Roland Liemberger</cp:lastModifiedBy>
  <cp:lastPrinted>2009-03-26T15:09:15Z</cp:lastPrinted>
  <dcterms:created xsi:type="dcterms:W3CDTF">2006-02-18T04:05:42Z</dcterms:created>
  <dcterms:modified xsi:type="dcterms:W3CDTF">2017-02-23T09:04:31Z</dcterms:modified>
</cp:coreProperties>
</file>